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updateLinks="never" codeName="ThisWorkbook" defaultThemeVersion="124226"/>
  <mc:AlternateContent xmlns:mc="http://schemas.openxmlformats.org/markup-compatibility/2006">
    <mc:Choice Requires="x15">
      <x15ac:absPath xmlns:x15ac="http://schemas.microsoft.com/office/spreadsheetml/2010/11/ac" url="https://nttcomgroup-my.sharepoint.com/personal/b130781_coe_ntt_com/Documents/SecuredPC/Downloads/"/>
    </mc:Choice>
  </mc:AlternateContent>
  <xr:revisionPtr revIDLastSave="202" documentId="11_AD2F67BECD5C49A457FEFA4EEA3B7514FAA6EB10" xr6:coauthVersionLast="47" xr6:coauthVersionMax="47" xr10:uidLastSave="{F606238A-C19D-4CF4-BC05-38FA6EC5CDF1}"/>
  <bookViews>
    <workbookView xWindow="-110" yWindow="-110" windowWidth="19420" windowHeight="10300" tabRatio="722" firstSheet="3" activeTab="3" xr2:uid="{00000000-000D-0000-FFFF-FFFF00000000}"/>
  </bookViews>
  <sheets>
    <sheet name="変更履歴" sheetId="1" r:id="rId1"/>
    <sheet name="試験実施要領" sheetId="68" r:id="rId2"/>
    <sheet name="パターン表" sheetId="62" r:id="rId3"/>
    <sheet name="試験項目書" sheetId="2" r:id="rId4"/>
    <sheet name="対象データ取得" sheetId="70" r:id="rId5"/>
    <sheet name="実施手順" sheetId="72" r:id="rId6"/>
    <sheet name="確認用" sheetId="69" r:id="rId7"/>
    <sheet name="ディシジョン表" sheetId="63" r:id="rId8"/>
    <sheet name="集計" sheetId="5" r:id="rId9"/>
    <sheet name="マスタ" sheetId="6" r:id="rId10"/>
  </sheets>
  <externalReferences>
    <externalReference r:id="rId11"/>
    <externalReference r:id="rId12"/>
  </externalReferences>
  <definedNames>
    <definedName name="_xlnm._FilterDatabase" localSheetId="7" hidden="1">ディシジョン表!$A$7:$Y$7</definedName>
    <definedName name="_xlnm._FilterDatabase" localSheetId="2" hidden="1">パターン表!#REF!</definedName>
    <definedName name="_xlnm._FilterDatabase" localSheetId="3" hidden="1">試験項目書!$A$11:$AM$83</definedName>
    <definedName name="IT1_処理結合テスト">マスタ!$B$3:$L$3</definedName>
    <definedName name="IT2_機能結合テスト">マスタ!$B$4:$L$4</definedName>
    <definedName name="IT3_業務結合テスト">マスタ!$B$5:$L$5</definedName>
    <definedName name="IT4_外部連携テスト">マスタ!$B$6:$L$6</definedName>
    <definedName name="_xlnm.Print_Area" localSheetId="3">試験項目書!$A$2:$X$82</definedName>
    <definedName name="ST_システムテスト">マスタ!$B$7:$L$7</definedName>
    <definedName name="UT_単体テスト">マスタ!$B$2:$L$2</definedName>
    <definedName name="Z_00AF6176_76F6_4E50_B1AF_971516CAABDC_.wvu.FilterData" localSheetId="3" hidden="1">試験項目書!$A$11:$AM$83</definedName>
    <definedName name="Z_0335732D_3699_41BB_9BCE_97E1F9ABAA01_.wvu.FilterData" localSheetId="3" hidden="1">試験項目書!$A$11:$AH$83</definedName>
    <definedName name="Z_07871DE1_6DDD_41A1_BC3E_EE686D9B3091_.wvu.Cols" localSheetId="3" hidden="1">試験項目書!$F:$F,試験項目書!$J:$J</definedName>
    <definedName name="Z_07871DE1_6DDD_41A1_BC3E_EE686D9B3091_.wvu.FilterData" localSheetId="7" hidden="1">ディシジョン表!$A$7:$Y$7</definedName>
    <definedName name="Z_07871DE1_6DDD_41A1_BC3E_EE686D9B3091_.wvu.FilterData" localSheetId="2" hidden="1">パターン表!#REF!</definedName>
    <definedName name="Z_07871DE1_6DDD_41A1_BC3E_EE686D9B3091_.wvu.FilterData" localSheetId="3" hidden="1">試験項目書!$A$11:$AM$83</definedName>
    <definedName name="Z_07871DE1_6DDD_41A1_BC3E_EE686D9B3091_.wvu.PrintArea" localSheetId="3" hidden="1">試験項目書!$A$2:$X$82</definedName>
    <definedName name="Z_13D7CF05_01C5_4A61_BB93_3735D69D25BD_.wvu.FilterData" localSheetId="3" hidden="1">試験項目書!$A$11:$AH$83</definedName>
    <definedName name="Z_140BE4E7_FBCD_4979_9B66_C382627CCCAF_.wvu.FilterData" localSheetId="3" hidden="1">試験項目書!$A$11:$AM$83</definedName>
    <definedName name="Z_17FCE419_389F_4C98_8114_B560FB8B48CE_.wvu.FilterData" localSheetId="3" hidden="1">試験項目書!$A$11:$AM$83</definedName>
    <definedName name="Z_192192E2_354D_4B05_B04E_B83D48D5BD0C_.wvu.FilterData" localSheetId="3" hidden="1">試験項目書!$A$11:$AM$83</definedName>
    <definedName name="Z_1B629021_A49A_451A_A150_EC7B6ACBBCF8_.wvu.FilterData" localSheetId="3" hidden="1">試験項目書!$A$11:$AH$83</definedName>
    <definedName name="Z_33AD46BE_F6AB_4748_99F0_90BB766F0B2E_.wvu.FilterData" localSheetId="3" hidden="1">試験項目書!$A$11:$AH$83</definedName>
    <definedName name="Z_3A6EB1D7_114C_4D3F_B278_A8983B092E89_.wvu.FilterData" localSheetId="3" hidden="1">試験項目書!$A$11:$AH$83</definedName>
    <definedName name="Z_3A6EB1D7_114C_4D3F_B278_A8983B092E89_.wvu.PrintArea" localSheetId="3" hidden="1">試験項目書!$A$2:$X$82</definedName>
    <definedName name="Z_41A44E24_F9B6_4BD6_8F4F_3DC1DA8737F3_.wvu.FilterData" localSheetId="3" hidden="1">試験項目書!$A$11:$AM$83</definedName>
    <definedName name="Z_4FCBAF1C_B596_445D_951D_9A791A5259E0_.wvu.FilterData" localSheetId="3" hidden="1">試験項目書!$A$11:$AH$83</definedName>
    <definedName name="Z_50287A35_4880_43F1_9812_2405378B69A1_.wvu.FilterData" localSheetId="3" hidden="1">試験項目書!$A$11:$AM$83</definedName>
    <definedName name="Z_51398C64_28FE_49BA_9A04_D32771E2A174_.wvu.FilterData" localSheetId="3" hidden="1">試験項目書!$A$11:$AM$83</definedName>
    <definedName name="Z_51454530_5A85_4C17_AF03_999015F01D31_.wvu.FilterData" localSheetId="3" hidden="1">試験項目書!$A$11:$AH$83</definedName>
    <definedName name="Z_5345789E_463B_4B58_839F_2E15F7642B27_.wvu.FilterData" localSheetId="3" hidden="1">試験項目書!$A$11:$AM$83</definedName>
    <definedName name="Z_55047CF4_6937_43FC_8261_D683919AF293_.wvu.FilterData" localSheetId="3" hidden="1">試験項目書!$A$11:$AH$83</definedName>
    <definedName name="Z_5A7A192E_882D_4D2B_8165_31912B5FF9CB_.wvu.FilterData" localSheetId="3" hidden="1">試験項目書!$A$11:$AM$83</definedName>
    <definedName name="Z_5A8B90A8_0322_4E0A_884D_745B0471FBE6_.wvu.FilterData" localSheetId="3" hidden="1">試験項目書!$A$11:$AM$83</definedName>
    <definedName name="Z_5B0F2B8D_BE63_41C4_A837_096D025CEE82_.wvu.FilterData" localSheetId="3" hidden="1">試験項目書!$A$11:$AH$83</definedName>
    <definedName name="Z_5F2395E4_8425_4995_A6E9_C31CF13C5BEC_.wvu.FilterData" localSheetId="3" hidden="1">試験項目書!$A$11:$AH$83</definedName>
    <definedName name="Z_644CB2F2_A2AF_4801_84E0_27E5FA1F80CC_.wvu.FilterData" localSheetId="3" hidden="1">試験項目書!$A$11:$AM$83</definedName>
    <definedName name="Z_6619C183_C3C5_43FC_AF9A_7C35900C7A2A_.wvu.FilterData" localSheetId="3" hidden="1">試験項目書!$A$11:$AM$83</definedName>
    <definedName name="Z_66FD0306_9F66_4FEF_B71D_28A012D4656D_.wvu.FilterData" localSheetId="3" hidden="1">試験項目書!$A$11:$AH$83</definedName>
    <definedName name="Z_6716ACD2_9E24_40BF_83F9_6A04F0BFB837_.wvu.FilterData" localSheetId="3" hidden="1">試験項目書!$A$11:$AH$83</definedName>
    <definedName name="Z_69853A44_A447_494A_BA21_24F088003ED3_.wvu.FilterData" localSheetId="3" hidden="1">試験項目書!$A$11:$AH$83</definedName>
    <definedName name="Z_6C2BAA77_ABB7_4A2D_BD29_85893334F5A3_.wvu.Cols" localSheetId="3" hidden="1">試験項目書!$F:$F,試験項目書!$J:$J</definedName>
    <definedName name="Z_6C2BAA77_ABB7_4A2D_BD29_85893334F5A3_.wvu.FilterData" localSheetId="7" hidden="1">ディシジョン表!$A$7:$Y$7</definedName>
    <definedName name="Z_6C2BAA77_ABB7_4A2D_BD29_85893334F5A3_.wvu.FilterData" localSheetId="2" hidden="1">パターン表!#REF!</definedName>
    <definedName name="Z_6C2BAA77_ABB7_4A2D_BD29_85893334F5A3_.wvu.FilterData" localSheetId="3" hidden="1">試験項目書!$A$11:$AM$83</definedName>
    <definedName name="Z_6C2BAA77_ABB7_4A2D_BD29_85893334F5A3_.wvu.PrintArea" localSheetId="3" hidden="1">試験項目書!$A$2:$X$82</definedName>
    <definedName name="Z_6F882E5D_B01A_4D9A_AB74_2A98E5ECF9E9_.wvu.FilterData" localSheetId="3" hidden="1">試験項目書!$A$11:$AM$83</definedName>
    <definedName name="Z_73A70502_52C5_42CE_9E28_F43AAB145AF9_.wvu.FilterData" localSheetId="3" hidden="1">試験項目書!$A$11:$AM$83</definedName>
    <definedName name="Z_771089CF_7538_43F9_8385_A718D2459AF1_.wvu.FilterData" localSheetId="3" hidden="1">試験項目書!$A$11:$AM$83</definedName>
    <definedName name="Z_78ECAC74_5EE8_4D67_81BA_107A1CE74AA5_.wvu.FilterData" localSheetId="3" hidden="1">試験項目書!$A$11:$AM$83</definedName>
    <definedName name="Z_7ED3F6FF_B1F2_4D4E_BA5E_D65E474D7622_.wvu.FilterData" localSheetId="3" hidden="1">試験項目書!$A$11:$AM$83</definedName>
    <definedName name="Z_7F5E9252_855E_4FA2_95B0_2B9015C00DC0_.wvu.FilterData" localSheetId="3" hidden="1">試験項目書!$A$11:$AH$83</definedName>
    <definedName name="Z_7F6D31C6_7E2C_4B29_867B_55EBA4D25780_.wvu.Cols" localSheetId="3" hidden="1">試験項目書!$F:$F,試験項目書!$J:$J</definedName>
    <definedName name="Z_7F6D31C6_7E2C_4B29_867B_55EBA4D25780_.wvu.FilterData" localSheetId="7" hidden="1">ディシジョン表!$A$7:$Y$7</definedName>
    <definedName name="Z_7F6D31C6_7E2C_4B29_867B_55EBA4D25780_.wvu.FilterData" localSheetId="2" hidden="1">パターン表!#REF!</definedName>
    <definedName name="Z_7F6D31C6_7E2C_4B29_867B_55EBA4D25780_.wvu.FilterData" localSheetId="3" hidden="1">試験項目書!$A$11:$AM$83</definedName>
    <definedName name="Z_7F6D31C6_7E2C_4B29_867B_55EBA4D25780_.wvu.PrintArea" localSheetId="3" hidden="1">試験項目書!$A$2:$X$82</definedName>
    <definedName name="Z_82605813_C2FE_46C7_8A70_BDF8E07F7B44_.wvu.FilterData" localSheetId="3" hidden="1">試験項目書!$A$11:$AH$83</definedName>
    <definedName name="Z_839894D8_AE9F_4819_B515_CFB7B22170DF_.wvu.FilterData" localSheetId="3" hidden="1">試験項目書!$A$11:$AH$83</definedName>
    <definedName name="Z_83D51182_23ED_458E_8606_A1AE22FDF20A_.wvu.FilterData" localSheetId="3" hidden="1">試験項目書!$A$11:$AM$83</definedName>
    <definedName name="Z_845F8617_D09A_4F0A_92A6_8204DCB44528_.wvu.FilterData" localSheetId="3" hidden="1">試験項目書!$A$11:$AH$83</definedName>
    <definedName name="Z_85BC9FF0_BE40_47C0_985E_B1A0A4782235_.wvu.FilterData" localSheetId="3" hidden="1">試験項目書!$A$11:$AH$83</definedName>
    <definedName name="Z_8D43A8EA_EA08_48E3_BF94_2BFB788816E3_.wvu.Cols" localSheetId="3" hidden="1">試験項目書!$F:$F,試験項目書!$J:$J</definedName>
    <definedName name="Z_8D43A8EA_EA08_48E3_BF94_2BFB788816E3_.wvu.FilterData" localSheetId="7" hidden="1">ディシジョン表!$A$7:$Y$7</definedName>
    <definedName name="Z_8D43A8EA_EA08_48E3_BF94_2BFB788816E3_.wvu.FilterData" localSheetId="2" hidden="1">パターン表!#REF!</definedName>
    <definedName name="Z_8D43A8EA_EA08_48E3_BF94_2BFB788816E3_.wvu.FilterData" localSheetId="3" hidden="1">試験項目書!$A$11:$AM$83</definedName>
    <definedName name="Z_8D43A8EA_EA08_48E3_BF94_2BFB788816E3_.wvu.PrintArea" localSheetId="3" hidden="1">試験項目書!$A$2:$X$82</definedName>
    <definedName name="Z_8E14FADF_49B1_4E08_A478_4046CCBD3A8A_.wvu.FilterData" localSheetId="3" hidden="1">試験項目書!$A$11:$AH$83</definedName>
    <definedName name="Z_8FCB6885_A0F6_4E61_AEF3_D272E2C906BA_.wvu.FilterData" localSheetId="3" hidden="1">試験項目書!$A$11:$AM$83</definedName>
    <definedName name="Z_92E1B368_A50D_4911_A72C_0DE976C04B39_.wvu.FilterData" localSheetId="3" hidden="1">試験項目書!$A$11:$AM$83</definedName>
    <definedName name="Z_9A6282D6_C388_4898_B53A_EA62985E45E9_.wvu.FilterData" localSheetId="3" hidden="1">試験項目書!$A$11:$AH$83</definedName>
    <definedName name="Z_9AF22A4D_4E31_4B78_9592_FFE6AADDDF54_.wvu.Cols" localSheetId="3" hidden="1">試験項目書!$F:$F,試験項目書!$J:$J</definedName>
    <definedName name="Z_9AF22A4D_4E31_4B78_9592_FFE6AADDDF54_.wvu.FilterData" localSheetId="7" hidden="1">ディシジョン表!$A$7:$Y$7</definedName>
    <definedName name="Z_9AF22A4D_4E31_4B78_9592_FFE6AADDDF54_.wvu.FilterData" localSheetId="2" hidden="1">パターン表!#REF!</definedName>
    <definedName name="Z_9AF22A4D_4E31_4B78_9592_FFE6AADDDF54_.wvu.FilterData" localSheetId="3" hidden="1">試験項目書!$A$11:$AM$83</definedName>
    <definedName name="Z_9AF22A4D_4E31_4B78_9592_FFE6AADDDF54_.wvu.PrintArea" localSheetId="3" hidden="1">試験項目書!$A$2:$X$82</definedName>
    <definedName name="Z_9B1A9105_A206_490C_B317_7F3F86ABA26D_.wvu.FilterData" localSheetId="3" hidden="1">試験項目書!$A$11:$AM$83</definedName>
    <definedName name="Z_9DD2208F_4C44_4913_8171_810057626EC5_.wvu.FilterData" localSheetId="3" hidden="1">試験項目書!$A$11:$AH$83</definedName>
    <definedName name="Z_9DD2208F_4C44_4913_8171_810057626EC5_.wvu.PrintArea" localSheetId="3" hidden="1">試験項目書!$A$2:$X$82</definedName>
    <definedName name="Z_A0FC786A_8DCE_4049_A0E0_92B8CFB0DE4D_.wvu.Cols" localSheetId="3" hidden="1">試験項目書!$F:$F,試験項目書!$J:$J</definedName>
    <definedName name="Z_A0FC786A_8DCE_4049_A0E0_92B8CFB0DE4D_.wvu.FilterData" localSheetId="7" hidden="1">ディシジョン表!$A$7:$Y$7</definedName>
    <definedName name="Z_A0FC786A_8DCE_4049_A0E0_92B8CFB0DE4D_.wvu.FilterData" localSheetId="2" hidden="1">パターン表!#REF!</definedName>
    <definedName name="Z_A0FC786A_8DCE_4049_A0E0_92B8CFB0DE4D_.wvu.FilterData" localSheetId="3" hidden="1">試験項目書!$A$11:$AM$83</definedName>
    <definedName name="Z_A0FC786A_8DCE_4049_A0E0_92B8CFB0DE4D_.wvu.PrintArea" localSheetId="3" hidden="1">試験項目書!$A$2:$X$82</definedName>
    <definedName name="Z_A142BDA9_87E4_4D28_8956_CACB0E560FD7_.wvu.Cols" localSheetId="3" hidden="1">試験項目書!$F:$F,試験項目書!$J:$J</definedName>
    <definedName name="Z_A142BDA9_87E4_4D28_8956_CACB0E560FD7_.wvu.FilterData" localSheetId="7" hidden="1">ディシジョン表!$A$7:$Y$7</definedName>
    <definedName name="Z_A142BDA9_87E4_4D28_8956_CACB0E560FD7_.wvu.FilterData" localSheetId="2" hidden="1">パターン表!#REF!</definedName>
    <definedName name="Z_A142BDA9_87E4_4D28_8956_CACB0E560FD7_.wvu.FilterData" localSheetId="3" hidden="1">試験項目書!$A$11:$AM$83</definedName>
    <definedName name="Z_A142BDA9_87E4_4D28_8956_CACB0E560FD7_.wvu.PrintArea" localSheetId="3" hidden="1">試験項目書!$A$2:$X$82</definedName>
    <definedName name="Z_A92C175A_9D56_4AAA_A25E_D0ED1A4D25E3_.wvu.FilterData" localSheetId="3" hidden="1">試験項目書!$A$11:$AM$83</definedName>
    <definedName name="Z_AD6A6A88_ABC6_41BE_B24D_E3B0B2569231_.wvu.FilterData" localSheetId="3" hidden="1">試験項目書!$A$11:$AM$83</definedName>
    <definedName name="Z_BE121221_3792_48A6_B340_9A74E811EBB3_.wvu.FilterData" localSheetId="3" hidden="1">試験項目書!$A$11:$AM$83</definedName>
    <definedName name="Z_BF2759F3_3C7A_4541_B3A6_E6A4FA1C90EA_.wvu.FilterData" localSheetId="3" hidden="1">試験項目書!$A$11:$AM$83</definedName>
    <definedName name="Z_C0424CB4_7C19_4F43_A70A_2A2800D3D1A5_.wvu.FilterData" localSheetId="3" hidden="1">試験項目書!$A$11:$AH$83</definedName>
    <definedName name="Z_C2FE6C54_60CD_4273_8D24_2E401987C858_.wvu.FilterData" localSheetId="3" hidden="1">試験項目書!$A$11:$AH$83</definedName>
    <definedName name="Z_C790817D_C040_4B41_BCE4_3B9D1AA869BC_.wvu.FilterData" localSheetId="3" hidden="1">試験項目書!$A$11:$AM$83</definedName>
    <definedName name="Z_C9C08C0A_8F1D_43E0_84D5_656FC73837D7_.wvu.FilterData" localSheetId="3" hidden="1">試験項目書!$A$11:$AH$83</definedName>
    <definedName name="Z_CC52FBA1_1558_432E_B54C_902B73DCEB2A_.wvu.FilterData" localSheetId="3" hidden="1">試験項目書!$A$11:$AM$83</definedName>
    <definedName name="Z_CE995D24_E1D4_4BB2_B589_EF03D86140CD_.wvu.FilterData" localSheetId="3" hidden="1">試験項目書!$A$11:$AM$83</definedName>
    <definedName name="Z_CF032270_526E_4C9B_99C2_EAC09B82F015_.wvu.FilterData" localSheetId="3" hidden="1">試験項目書!$A$11:$AH$83</definedName>
    <definedName name="Z_DA22134B_80E2_440D_9F4F_95F6A403AFD9_.wvu.FilterData" localSheetId="3" hidden="1">試験項目書!$A$11:$AH$83</definedName>
    <definedName name="Z_DD350DFF_0C96_4592_8187_3A4C54B5E427_.wvu.FilterData" localSheetId="3" hidden="1">試験項目書!$A$11:$AH$83</definedName>
    <definedName name="Z_DF7A1C5E_25D2_41C8_85AD_2C45D6CB7BBC_.wvu.FilterData" localSheetId="3" hidden="1">試験項目書!$A$11:$AH$83</definedName>
    <definedName name="Z_E038D62F_FC30_4220_9891_FE7D3E29165D_.wvu.FilterData" localSheetId="3" hidden="1">試験項目書!$A$11:$AH$83</definedName>
    <definedName name="Z_E3E2770D_1DAB_4EB2_AFD5_CF17C0EC7C73_.wvu.FilterData" localSheetId="3" hidden="1">試験項目書!$A$11:$AM$83</definedName>
    <definedName name="Z_E9024D94_FAF5_4475_BA4F_F1185525816E_.wvu.FilterData" localSheetId="3" hidden="1">試験項目書!$A$11:$AH$83</definedName>
    <definedName name="Z_EC5D550F_7260_4845_ABFD_235BEADF3EAE_.wvu.FilterData" localSheetId="3" hidden="1">試験項目書!$A$11:$AH$83</definedName>
    <definedName name="Z_EF8322B0_0F88_4952_9518_F23D0267378A_.wvu.FilterData" localSheetId="3" hidden="1">試験項目書!$A$11:$AH$83</definedName>
    <definedName name="Z_F042E6E6_C758_4589_84CA_29C0F166063D_.wvu.FilterData" localSheetId="3" hidden="1">試験項目書!$A$11:$AM$83</definedName>
    <definedName name="Z_F5204A9C_5FD3_4B4F_B16A_EEB023D34CEE_.wvu.FilterData" localSheetId="3" hidden="1">試験項目書!$A$11:$AH$83</definedName>
    <definedName name="Z_F598155C_E3D4_4C60_8BA8_5AED0149BD53_.wvu.FilterData" localSheetId="3" hidden="1">試験項目書!$A$11:$AM$83</definedName>
    <definedName name="Z_FE79E6DA_7B16_4839_8CFB_07958FC2E8D2_.wvu.FilterData" localSheetId="3" hidden="1">試験項目書!$A$11:$AH$83</definedName>
    <definedName name="Z_FE79E6DA_7B16_4839_8CFB_07958FC2E8D2_.wvu.PrintArea" localSheetId="3" hidden="1">試験項目書!$A$2:$X$82</definedName>
    <definedName name="エラー原因">#REF!</definedName>
    <definedName name="凡例">'[1]画面一覧（サンプル）'!$A$30:$A$32</definedName>
  </definedNames>
  <calcPr calcId="191028"/>
  <customWorkbookViews>
    <customWorkbookView name="ESY-BP 前田 耕輔 - 個人用ビュー" guid="{8D43A8EA-EA08-48E3-BF94-2BFB788816E3}" mergeInterval="0" personalView="1" maximized="1" windowWidth="1626" windowHeight="801" tabRatio="506" activeSheetId="2"/>
    <customWorkbookView name="ETC 池尻 晋弥 - 個人用ビュー" guid="{3A6EB1D7-114C-4D3F-B278-A8983B092E89}" mergeInterval="0" personalView="1" maximized="1" windowWidth="1916" windowHeight="850" tabRatio="506" activeSheetId="5"/>
    <customWorkbookView name="ESY-BP 沖野 吉朗 - 個人用ビュー" guid="{FE79E6DA-7B16-4839-8CFB-07958FC2E8D2}" mergeInterval="0" personalView="1" maximized="1" windowWidth="1916" windowHeight="860" tabRatio="506" activeSheetId="2"/>
    <customWorkbookView name="ESY-BP 上野 晃太 - 個人用ビュー" guid="{9DD2208F-4C44-4913-8171-810057626EC5}" mergeInterval="0" personalView="1" maximized="1" windowWidth="1796" windowHeight="727" tabRatio="506" activeSheetId="2"/>
    <customWorkbookView name="ESY-BP 松原 久 - 個人用ビュー" guid="{6C2BAA77-ABB7-4A2D-BD29-85893334F5A3}" mergeInterval="0" personalView="1" maximized="1" windowWidth="1916" windowHeight="834" tabRatio="628" activeSheetId="2" showComments="commIndAndComment"/>
    <customWorkbookView name="ESY-BP 田中 裕之 - 個人用ビュー" guid="{A142BDA9-87E4-4D28-8956-CACB0E560FD7}" mergeInterval="0" personalView="1" maximized="1" windowWidth="1815" windowHeight="824" tabRatio="506" activeSheetId="2"/>
    <customWorkbookView name="ESY-BP 田中 輝 - 個人用ビュー" guid="{07871DE1-6DDD-41A1-BC3E-EE686D9B3091}" mergeInterval="0" personalView="1" maximized="1" windowWidth="1834" windowHeight="790" tabRatio="506" activeSheetId="2"/>
    <customWorkbookView name="ESY-BP 糸山 慶一郎 - 個人用ビュー" guid="{7F6D31C6-7E2C-4B29-867B-55EBA4D25780}" mergeInterval="0" personalView="1" maximized="1" windowWidth="1916" windowHeight="796" tabRatio="506" activeSheetId="2"/>
    <customWorkbookView name="ESY-BP 遠藤 佑輔 - 個人用ビュー" guid="{A0FC786A-8DCE-4049-A0E0-92B8CFB0DE4D}" mergeInterval="0" personalView="1" maximized="1" windowWidth="1916" windowHeight="926" tabRatio="628" activeSheetId="2"/>
    <customWorkbookView name="ESY-BP 磯山 ひかり - 個人用ビュー" guid="{9AF22A4D-4E31-4B78-9592-FFE6AADDDF54}" mergeInterval="0" personalView="1" maximized="1" windowWidth="1745" windowHeight="782" tabRatio="506"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2" l="1"/>
  <c r="E6" i="62"/>
  <c r="C10" i="69" l="1"/>
  <c r="C9" i="69"/>
  <c r="C8" i="69"/>
  <c r="K82" i="2" l="1"/>
  <c r="J82" i="2"/>
  <c r="G82" i="2"/>
  <c r="I82" i="2" s="1"/>
  <c r="K81" i="2"/>
  <c r="J81" i="2"/>
  <c r="G81" i="2"/>
  <c r="I81" i="2" s="1"/>
  <c r="K80" i="2"/>
  <c r="J80" i="2"/>
  <c r="G80" i="2"/>
  <c r="I80" i="2" s="1"/>
  <c r="K79" i="2"/>
  <c r="J79" i="2"/>
  <c r="G79" i="2"/>
  <c r="I79" i="2" s="1"/>
  <c r="K78" i="2"/>
  <c r="J78" i="2"/>
  <c r="G78" i="2"/>
  <c r="I78" i="2" s="1"/>
  <c r="K77" i="2"/>
  <c r="J77" i="2"/>
  <c r="G77" i="2"/>
  <c r="I77" i="2" s="1"/>
  <c r="K76" i="2"/>
  <c r="J76" i="2"/>
  <c r="G76" i="2"/>
  <c r="I76" i="2" s="1"/>
  <c r="K75" i="2"/>
  <c r="J75" i="2"/>
  <c r="G75" i="2"/>
  <c r="I75" i="2" s="1"/>
  <c r="K74" i="2"/>
  <c r="J74" i="2"/>
  <c r="G74" i="2"/>
  <c r="I74" i="2" s="1"/>
  <c r="K73" i="2"/>
  <c r="J73" i="2"/>
  <c r="G73" i="2"/>
  <c r="H73" i="2" s="1"/>
  <c r="K72" i="2"/>
  <c r="J72" i="2"/>
  <c r="G72" i="2"/>
  <c r="I72" i="2" s="1"/>
  <c r="K71" i="2"/>
  <c r="J71" i="2"/>
  <c r="G71" i="2"/>
  <c r="I71" i="2" s="1"/>
  <c r="K70" i="2"/>
  <c r="J70" i="2"/>
  <c r="G70" i="2"/>
  <c r="H70" i="2" s="1"/>
  <c r="K69" i="2"/>
  <c r="J69" i="2"/>
  <c r="G69" i="2"/>
  <c r="I69" i="2" s="1"/>
  <c r="K68" i="2"/>
  <c r="J68" i="2"/>
  <c r="G68" i="2"/>
  <c r="I68" i="2" s="1"/>
  <c r="K67" i="2"/>
  <c r="J67" i="2"/>
  <c r="G67" i="2"/>
  <c r="H67" i="2" s="1"/>
  <c r="K66" i="2"/>
  <c r="J66" i="2"/>
  <c r="G66" i="2"/>
  <c r="I66" i="2" s="1"/>
  <c r="K65" i="2"/>
  <c r="J65" i="2"/>
  <c r="G65" i="2"/>
  <c r="I65" i="2" s="1"/>
  <c r="K64" i="2"/>
  <c r="J64" i="2"/>
  <c r="G64" i="2"/>
  <c r="I64" i="2" s="1"/>
  <c r="K63" i="2"/>
  <c r="J63" i="2"/>
  <c r="G63" i="2"/>
  <c r="I63" i="2" s="1"/>
  <c r="K62" i="2"/>
  <c r="J62" i="2"/>
  <c r="G62" i="2"/>
  <c r="I62" i="2" s="1"/>
  <c r="K61" i="2"/>
  <c r="J61" i="2"/>
  <c r="G61" i="2"/>
  <c r="H61" i="2" s="1"/>
  <c r="K60" i="2"/>
  <c r="J60" i="2"/>
  <c r="G60" i="2"/>
  <c r="H60" i="2" s="1"/>
  <c r="K59" i="2"/>
  <c r="J59" i="2"/>
  <c r="G59" i="2"/>
  <c r="I59" i="2" s="1"/>
  <c r="K58" i="2"/>
  <c r="J58" i="2"/>
  <c r="G58" i="2"/>
  <c r="H58" i="2" s="1"/>
  <c r="K57" i="2"/>
  <c r="J57" i="2"/>
  <c r="G57" i="2"/>
  <c r="I57" i="2" s="1"/>
  <c r="K56" i="2"/>
  <c r="J56" i="2"/>
  <c r="G56" i="2"/>
  <c r="I56" i="2" s="1"/>
  <c r="G55" i="2"/>
  <c r="I55" i="2" s="1"/>
  <c r="K54" i="2"/>
  <c r="J54" i="2"/>
  <c r="G54" i="2"/>
  <c r="H54" i="2" s="1"/>
  <c r="G53" i="2"/>
  <c r="I53" i="2" s="1"/>
  <c r="G52" i="2"/>
  <c r="I52" i="2" s="1"/>
  <c r="K51" i="2"/>
  <c r="J51" i="2"/>
  <c r="G50" i="2"/>
  <c r="I50" i="2" s="1"/>
  <c r="G49" i="2"/>
  <c r="H49" i="2" s="1"/>
  <c r="K48" i="2"/>
  <c r="G48" i="2"/>
  <c r="H48" i="2" s="1"/>
  <c r="K47" i="2"/>
  <c r="G47" i="2"/>
  <c r="H47" i="2" s="1"/>
  <c r="K46" i="2"/>
  <c r="G46" i="2"/>
  <c r="H46" i="2" s="1"/>
  <c r="K45" i="2"/>
  <c r="J45" i="2"/>
  <c r="G45" i="2"/>
  <c r="H45" i="2" s="1"/>
  <c r="G44" i="2"/>
  <c r="I44" i="2" s="1"/>
  <c r="K43" i="2"/>
  <c r="J43" i="2"/>
  <c r="G43" i="2"/>
  <c r="H43" i="2" s="1"/>
  <c r="G42" i="2"/>
  <c r="H42" i="2" s="1"/>
  <c r="K41" i="2"/>
  <c r="G41" i="2"/>
  <c r="I41" i="2" s="1"/>
  <c r="G40" i="2"/>
  <c r="I40" i="2" s="1"/>
  <c r="K39" i="2"/>
  <c r="G39" i="2"/>
  <c r="I39" i="2" s="1"/>
  <c r="G38" i="2"/>
  <c r="I38" i="2" s="1"/>
  <c r="K37" i="2"/>
  <c r="G37" i="2"/>
  <c r="I37" i="2" s="1"/>
  <c r="K36" i="2"/>
  <c r="J36" i="2"/>
  <c r="G36" i="2"/>
  <c r="H36" i="2" s="1"/>
  <c r="G35" i="2"/>
  <c r="I35" i="2" s="1"/>
  <c r="K34" i="2"/>
  <c r="G34" i="2"/>
  <c r="I34" i="2" s="1"/>
  <c r="G33" i="2"/>
  <c r="I33" i="2" s="1"/>
  <c r="K32" i="2"/>
  <c r="G32" i="2"/>
  <c r="I32" i="2" s="1"/>
  <c r="K31" i="2"/>
  <c r="J31" i="2"/>
  <c r="G30" i="2"/>
  <c r="H30" i="2" s="1"/>
  <c r="K29" i="2"/>
  <c r="G29" i="2"/>
  <c r="I29" i="2" s="1"/>
  <c r="G28" i="2"/>
  <c r="I28" i="2" s="1"/>
  <c r="K27" i="2"/>
  <c r="K26" i="2"/>
  <c r="G25" i="2"/>
  <c r="H25" i="2" s="1"/>
  <c r="K24" i="2"/>
  <c r="G24" i="2"/>
  <c r="I24" i="2" s="1"/>
  <c r="G23" i="2"/>
  <c r="H23" i="2" s="1"/>
  <c r="G22" i="2"/>
  <c r="H22" i="2" s="1"/>
  <c r="G21" i="2"/>
  <c r="H21" i="2" s="1"/>
  <c r="B82" i="2"/>
  <c r="B81" i="2"/>
  <c r="B80" i="2"/>
  <c r="B79" i="2"/>
  <c r="B78" i="2"/>
  <c r="B77" i="2"/>
  <c r="B76" i="2"/>
  <c r="B75" i="2"/>
  <c r="B74" i="2"/>
  <c r="B73" i="2"/>
  <c r="Q21" i="2"/>
  <c r="Q22" i="2"/>
  <c r="Q23" i="2"/>
  <c r="Q24" i="2"/>
  <c r="Q25" i="2"/>
  <c r="Q26" i="2"/>
  <c r="Q27" i="2"/>
  <c r="G26" i="2" s="1"/>
  <c r="Q28" i="2"/>
  <c r="Q29" i="2"/>
  <c r="Q30" i="2"/>
  <c r="Q31" i="2"/>
  <c r="Q32" i="2"/>
  <c r="G31" i="2" s="1"/>
  <c r="H31" i="2" s="1"/>
  <c r="Q33" i="2"/>
  <c r="Q34" i="2"/>
  <c r="Q35" i="2"/>
  <c r="Q36" i="2"/>
  <c r="Q37" i="2"/>
  <c r="Q38" i="2"/>
  <c r="Q39" i="2"/>
  <c r="Q40" i="2"/>
  <c r="Q41" i="2"/>
  <c r="Q42" i="2"/>
  <c r="Q43" i="2"/>
  <c r="Q44" i="2"/>
  <c r="Q45" i="2"/>
  <c r="Q46" i="2"/>
  <c r="Q47" i="2"/>
  <c r="Q48" i="2"/>
  <c r="Q49" i="2"/>
  <c r="Q50" i="2"/>
  <c r="Q51" i="2"/>
  <c r="Q52" i="2"/>
  <c r="G51" i="2" s="1"/>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20" i="2"/>
  <c r="G20" i="2" s="1"/>
  <c r="Q19" i="2"/>
  <c r="Q18" i="2"/>
  <c r="AO82" i="2"/>
  <c r="AO81" i="2"/>
  <c r="AO80" i="2"/>
  <c r="AO79" i="2"/>
  <c r="AO78" i="2"/>
  <c r="AO77" i="2"/>
  <c r="AO76" i="2"/>
  <c r="AO75" i="2"/>
  <c r="AO74" i="2"/>
  <c r="AO73" i="2"/>
  <c r="AO72" i="2"/>
  <c r="AO71" i="2"/>
  <c r="AO70" i="2"/>
  <c r="AO69"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7" i="2"/>
  <c r="AO36" i="2"/>
  <c r="AO35" i="2"/>
  <c r="AO34" i="2"/>
  <c r="AO33" i="2"/>
  <c r="AO32" i="2"/>
  <c r="AO31" i="2"/>
  <c r="AO30" i="2"/>
  <c r="AO29" i="2"/>
  <c r="AO28" i="2"/>
  <c r="AO27" i="2"/>
  <c r="AO26" i="2"/>
  <c r="AO25" i="2"/>
  <c r="AO24" i="2"/>
  <c r="AO23" i="2"/>
  <c r="AO22" i="2"/>
  <c r="AO21" i="2"/>
  <c r="AO20" i="2"/>
  <c r="AO19" i="2"/>
  <c r="AO18" i="2"/>
  <c r="AF82" i="2"/>
  <c r="AF81" i="2"/>
  <c r="AF80" i="2"/>
  <c r="AF79" i="2"/>
  <c r="AF78" i="2"/>
  <c r="AF77" i="2"/>
  <c r="AF76" i="2"/>
  <c r="AF75" i="2"/>
  <c r="AF74" i="2"/>
  <c r="AF73" i="2"/>
  <c r="AF72" i="2"/>
  <c r="AF71" i="2"/>
  <c r="AF70" i="2"/>
  <c r="AF69" i="2"/>
  <c r="AF68" i="2"/>
  <c r="AF67" i="2"/>
  <c r="AF66" i="2"/>
  <c r="AF65" i="2"/>
  <c r="AF64" i="2"/>
  <c r="AF63" i="2"/>
  <c r="AF62" i="2"/>
  <c r="AF61" i="2"/>
  <c r="AF60" i="2"/>
  <c r="AF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G19" i="2"/>
  <c r="H19" i="2" s="1"/>
  <c r="K18" i="2"/>
  <c r="G18" i="2"/>
  <c r="G27" i="2" l="1"/>
  <c r="I27" i="2" s="1"/>
  <c r="I42" i="2"/>
  <c r="I47" i="2"/>
  <c r="I58" i="2"/>
  <c r="H81" i="2"/>
  <c r="I48" i="2"/>
  <c r="I67" i="2"/>
  <c r="H75" i="2"/>
  <c r="I60" i="2"/>
  <c r="H78" i="2"/>
  <c r="I30" i="2"/>
  <c r="H35" i="2"/>
  <c r="H59" i="2"/>
  <c r="H66" i="2"/>
  <c r="H69" i="2"/>
  <c r="H33" i="2"/>
  <c r="I70" i="2"/>
  <c r="H72" i="2"/>
  <c r="H53" i="2"/>
  <c r="H57" i="2"/>
  <c r="H79" i="2"/>
  <c r="H24" i="2"/>
  <c r="H55" i="2"/>
  <c r="H71" i="2"/>
  <c r="I22" i="2"/>
  <c r="H39" i="2"/>
  <c r="H32" i="2"/>
  <c r="H44" i="2"/>
  <c r="H37" i="2"/>
  <c r="I25" i="2"/>
  <c r="I49" i="2"/>
  <c r="I61" i="2"/>
  <c r="I73" i="2"/>
  <c r="H28" i="2"/>
  <c r="H40" i="2"/>
  <c r="H52" i="2"/>
  <c r="H64" i="2"/>
  <c r="H76" i="2"/>
  <c r="H38" i="2"/>
  <c r="H50" i="2"/>
  <c r="H62" i="2"/>
  <c r="H74" i="2"/>
  <c r="K23" i="2"/>
  <c r="K25" i="2" s="1"/>
  <c r="H26" i="2"/>
  <c r="H41" i="2"/>
  <c r="H65" i="2"/>
  <c r="H77" i="2"/>
  <c r="H82" i="2"/>
  <c r="H29" i="2"/>
  <c r="I46" i="2"/>
  <c r="H51" i="2"/>
  <c r="H63" i="2"/>
  <c r="H34" i="2"/>
  <c r="H56" i="2"/>
  <c r="H68" i="2"/>
  <c r="H80" i="2"/>
  <c r="H20" i="2"/>
  <c r="H18" i="2"/>
  <c r="H27" i="2" l="1"/>
  <c r="K28" i="2"/>
  <c r="K30" i="2" l="1"/>
  <c r="K33" i="2" l="1"/>
  <c r="J27" i="2" l="1"/>
  <c r="K35" i="2"/>
  <c r="K40" i="2" l="1"/>
  <c r="K42" i="2" s="1"/>
  <c r="K38" i="2"/>
  <c r="J28" i="2"/>
  <c r="AO15" i="2"/>
  <c r="AO16" i="2"/>
  <c r="AO17" i="2"/>
  <c r="Q15" i="2"/>
  <c r="Q16" i="2"/>
  <c r="G16" i="2" s="1"/>
  <c r="H16" i="2" s="1"/>
  <c r="Q17" i="2"/>
  <c r="G17" i="2"/>
  <c r="H17" i="2" s="1"/>
  <c r="K44" i="2" l="1"/>
  <c r="K49" i="2" s="1"/>
  <c r="J29" i="2"/>
  <c r="J30" i="2" s="1"/>
  <c r="G15" i="2"/>
  <c r="H15" i="2" s="1"/>
  <c r="K13" i="2"/>
  <c r="J13" i="2"/>
  <c r="J14" i="2"/>
  <c r="K50" i="2" l="1"/>
  <c r="K52" i="2" s="1"/>
  <c r="K53" i="2" s="1"/>
  <c r="K55" i="2" s="1"/>
  <c r="J32" i="2"/>
  <c r="J33" i="2" s="1"/>
  <c r="J34" i="2" s="1"/>
  <c r="J35" i="2" s="1"/>
  <c r="J37" i="2" s="1"/>
  <c r="J38" i="2" s="1"/>
  <c r="J39" i="2" s="1"/>
  <c r="J40" i="2" s="1"/>
  <c r="J41" i="2" s="1"/>
  <c r="J42" i="2" s="1"/>
  <c r="J44" i="2" s="1"/>
  <c r="J46" i="2" s="1"/>
  <c r="J47" i="2" s="1"/>
  <c r="J15" i="2"/>
  <c r="K14" i="2"/>
  <c r="B14" i="2"/>
  <c r="I26" i="2" l="1"/>
  <c r="I45" i="2"/>
  <c r="I51" i="2"/>
  <c r="I31" i="2"/>
  <c r="I43" i="2"/>
  <c r="I36" i="2"/>
  <c r="J48" i="2"/>
  <c r="J49" i="2" s="1"/>
  <c r="J50" i="2" s="1"/>
  <c r="J52" i="2" s="1"/>
  <c r="J53" i="2" s="1"/>
  <c r="J55" i="2" s="1"/>
  <c r="I54" i="2"/>
  <c r="J16" i="2"/>
  <c r="K15" i="2"/>
  <c r="B15" i="2"/>
  <c r="Q14" i="2"/>
  <c r="Q13" i="2"/>
  <c r="K16" i="2" l="1"/>
  <c r="J17" i="2"/>
  <c r="G13" i="2"/>
  <c r="B16" i="2"/>
  <c r="G14" i="2"/>
  <c r="D1" i="2"/>
  <c r="D9" i="2" s="1"/>
  <c r="X15" i="63"/>
  <c r="W15" i="63"/>
  <c r="V15" i="63"/>
  <c r="U15" i="63"/>
  <c r="T15" i="63"/>
  <c r="S15" i="63"/>
  <c r="R15" i="63"/>
  <c r="Q15" i="63"/>
  <c r="P15" i="63"/>
  <c r="O15" i="63"/>
  <c r="N15" i="63"/>
  <c r="M15" i="63"/>
  <c r="L15" i="63"/>
  <c r="K15" i="63"/>
  <c r="J15" i="63"/>
  <c r="I15" i="63"/>
  <c r="H15" i="63"/>
  <c r="G15" i="63"/>
  <c r="F15" i="63"/>
  <c r="E15" i="63"/>
  <c r="J18" i="2" l="1"/>
  <c r="J19" i="2" s="1"/>
  <c r="J20" i="2" s="1"/>
  <c r="J21" i="2" s="1"/>
  <c r="K17" i="2"/>
  <c r="K19" i="2" s="1"/>
  <c r="B17" i="2"/>
  <c r="H14" i="2"/>
  <c r="J22" i="2" l="1"/>
  <c r="I18" i="2"/>
  <c r="B18" i="2"/>
  <c r="K20" i="2"/>
  <c r="X2" i="63"/>
  <c r="W2" i="63"/>
  <c r="V2" i="63"/>
  <c r="U2" i="63"/>
  <c r="T2" i="63"/>
  <c r="S2" i="63"/>
  <c r="R2" i="63"/>
  <c r="Q2" i="63"/>
  <c r="P2" i="63"/>
  <c r="O2" i="63"/>
  <c r="N2" i="63"/>
  <c r="M2" i="63"/>
  <c r="L2" i="63"/>
  <c r="K2" i="63"/>
  <c r="J2" i="63"/>
  <c r="I2" i="63"/>
  <c r="H2" i="63"/>
  <c r="G2" i="63"/>
  <c r="F2" i="63"/>
  <c r="E2" i="63"/>
  <c r="J23" i="2" l="1"/>
  <c r="J24" i="2" s="1"/>
  <c r="K22" i="2"/>
  <c r="I23" i="2" s="1"/>
  <c r="K21" i="2"/>
  <c r="I20" i="2"/>
  <c r="I19" i="2"/>
  <c r="B19" i="2"/>
  <c r="D3" i="2"/>
  <c r="AO14" i="2"/>
  <c r="AO13" i="2"/>
  <c r="B20" i="2" l="1"/>
  <c r="I21" i="2"/>
  <c r="J25" i="2"/>
  <c r="J26" i="2" s="1"/>
  <c r="D2" i="2"/>
  <c r="B21" i="2" l="1"/>
  <c r="I14" i="2"/>
  <c r="D5" i="2"/>
  <c r="B22" i="2" l="1"/>
  <c r="C3" i="5"/>
  <c r="B23" i="2" l="1"/>
  <c r="B24" i="2" s="1"/>
  <c r="B25" i="2" s="1"/>
  <c r="B26" i="2" s="1"/>
  <c r="B27" i="2" s="1"/>
  <c r="B28" i="2" s="1"/>
  <c r="B29" i="2" s="1"/>
  <c r="B30" i="2" s="1"/>
  <c r="B31" i="2" s="1"/>
  <c r="B32" i="2" s="1"/>
  <c r="B33" i="2" s="1"/>
  <c r="B34" i="2" s="1"/>
  <c r="B35" i="2" s="1"/>
  <c r="B36" i="2" s="1"/>
  <c r="I15" i="2"/>
  <c r="C1" i="5"/>
  <c r="C2" i="5"/>
  <c r="B37" i="2" l="1"/>
  <c r="B38" i="2" s="1"/>
  <c r="B39" i="2" s="1"/>
  <c r="B40" i="2" s="1"/>
  <c r="B41" i="2" s="1"/>
  <c r="B42" i="2" s="1"/>
  <c r="B43" i="2" s="1"/>
  <c r="B44" i="2" s="1"/>
  <c r="C5" i="5"/>
  <c r="B45" i="2" l="1"/>
  <c r="B46" i="2" s="1"/>
  <c r="B47" i="2" s="1"/>
  <c r="B48" i="2" s="1"/>
  <c r="B49" i="2" s="1"/>
  <c r="B50" i="2" s="1"/>
  <c r="B51" i="2" s="1"/>
  <c r="C10" i="5"/>
  <c r="C11" i="5" s="1"/>
  <c r="C13" i="5"/>
  <c r="C14" i="5" s="1"/>
  <c r="C9" i="5"/>
  <c r="C6" i="5"/>
  <c r="C12" i="5"/>
  <c r="D5" i="5"/>
  <c r="D10" i="5" s="1"/>
  <c r="B54" i="2" l="1"/>
  <c r="B55" i="2" s="1"/>
  <c r="B56" i="2" s="1"/>
  <c r="B57" i="2" s="1"/>
  <c r="B58" i="2" s="1"/>
  <c r="B59" i="2" s="1"/>
  <c r="B60" i="2" s="1"/>
  <c r="B61" i="2" s="1"/>
  <c r="B62" i="2" s="1"/>
  <c r="B63" i="2" s="1"/>
  <c r="B64" i="2" s="1"/>
  <c r="B65" i="2" s="1"/>
  <c r="B66" i="2" s="1"/>
  <c r="B67" i="2" s="1"/>
  <c r="B68" i="2" s="1"/>
  <c r="B69" i="2" s="1"/>
  <c r="B70" i="2" s="1"/>
  <c r="B71" i="2" s="1"/>
  <c r="B72" i="2" s="1"/>
  <c r="B52" i="2"/>
  <c r="B53" i="2" s="1"/>
  <c r="D13" i="5"/>
  <c r="D14" i="5" s="1"/>
  <c r="D9" i="5"/>
  <c r="D6" i="5"/>
  <c r="D12" i="5"/>
  <c r="E5" i="5"/>
  <c r="E10" i="5" s="1"/>
  <c r="E13" i="5" l="1"/>
  <c r="E14" i="5" s="1"/>
  <c r="E9" i="5"/>
  <c r="E6" i="5"/>
  <c r="E12" i="5"/>
  <c r="F5" i="5"/>
  <c r="F10" i="5" s="1"/>
  <c r="F13" i="5" l="1"/>
  <c r="F14" i="5" s="1"/>
  <c r="F9" i="5"/>
  <c r="F6" i="5"/>
  <c r="F12" i="5"/>
  <c r="G5" i="5"/>
  <c r="G10" i="5" s="1"/>
  <c r="G13" i="5" l="1"/>
  <c r="G14" i="5" s="1"/>
  <c r="G9" i="5"/>
  <c r="G6" i="5"/>
  <c r="G12" i="5"/>
  <c r="H5" i="5"/>
  <c r="H10" i="5" s="1"/>
  <c r="H13" i="5" l="1"/>
  <c r="H14" i="5" s="1"/>
  <c r="H9" i="5"/>
  <c r="H6" i="5"/>
  <c r="H12" i="5"/>
  <c r="I5" i="5"/>
  <c r="I10" i="5" s="1"/>
  <c r="I13" i="5" l="1"/>
  <c r="I14" i="5" s="1"/>
  <c r="I9" i="5"/>
  <c r="I6" i="5"/>
  <c r="I12" i="5"/>
  <c r="J5" i="5"/>
  <c r="J10" i="5" s="1"/>
  <c r="J13" i="5" l="1"/>
  <c r="J14" i="5" s="1"/>
  <c r="J9" i="5"/>
  <c r="J6" i="5"/>
  <c r="J12" i="5"/>
  <c r="K5" i="5"/>
  <c r="K10" i="5" s="1"/>
  <c r="K13" i="5" l="1"/>
  <c r="K14" i="5" s="1"/>
  <c r="K9" i="5"/>
  <c r="K6" i="5"/>
  <c r="K12" i="5"/>
  <c r="L5" i="5"/>
  <c r="L10" i="5" s="1"/>
  <c r="L13" i="5" l="1"/>
  <c r="L14" i="5" s="1"/>
  <c r="L9" i="5"/>
  <c r="L6" i="5"/>
  <c r="L12" i="5"/>
  <c r="M5" i="5"/>
  <c r="M10" i="5" s="1"/>
  <c r="M13" i="5" l="1"/>
  <c r="M14" i="5" s="1"/>
  <c r="M9" i="5"/>
  <c r="M6" i="5"/>
  <c r="M12" i="5"/>
  <c r="N5" i="5"/>
  <c r="N10" i="5" s="1"/>
  <c r="N13" i="5" l="1"/>
  <c r="N14" i="5" s="1"/>
  <c r="N9" i="5"/>
  <c r="N6" i="5"/>
  <c r="N12" i="5"/>
  <c r="O5" i="5"/>
  <c r="O10" i="5" s="1"/>
  <c r="O13" i="5" l="1"/>
  <c r="O14" i="5" s="1"/>
  <c r="O9" i="5"/>
  <c r="O6" i="5"/>
  <c r="O12" i="5"/>
  <c r="P5" i="5"/>
  <c r="P10" i="5" s="1"/>
  <c r="P13" i="5" l="1"/>
  <c r="P14" i="5" s="1"/>
  <c r="P9" i="5"/>
  <c r="P6" i="5"/>
  <c r="P12" i="5"/>
  <c r="Q5" i="5"/>
  <c r="Q10" i="5" s="1"/>
  <c r="Q13" i="5" l="1"/>
  <c r="Q14" i="5" s="1"/>
  <c r="Q9" i="5"/>
  <c r="Q6" i="5"/>
  <c r="Q12" i="5"/>
  <c r="R5" i="5"/>
  <c r="R10" i="5" s="1"/>
  <c r="R13" i="5" l="1"/>
  <c r="R14" i="5" s="1"/>
  <c r="R9" i="5"/>
  <c r="R6" i="5"/>
  <c r="R12" i="5"/>
  <c r="S5" i="5"/>
  <c r="S10" i="5" s="1"/>
  <c r="S13" i="5" l="1"/>
  <c r="S14" i="5" s="1"/>
  <c r="S9" i="5"/>
  <c r="S6" i="5"/>
  <c r="S12" i="5"/>
  <c r="T5" i="5"/>
  <c r="T10" i="5" s="1"/>
  <c r="T13" i="5" l="1"/>
  <c r="T14" i="5" s="1"/>
  <c r="T9" i="5"/>
  <c r="T6" i="5"/>
  <c r="T12" i="5"/>
  <c r="U5" i="5"/>
  <c r="U10" i="5" s="1"/>
  <c r="U13" i="5" l="1"/>
  <c r="U14" i="5" s="1"/>
  <c r="U9" i="5"/>
  <c r="U6" i="5"/>
  <c r="U12" i="5"/>
  <c r="V5" i="5"/>
  <c r="V10" i="5" s="1"/>
  <c r="V13" i="5" l="1"/>
  <c r="V14" i="5" s="1"/>
  <c r="V9" i="5"/>
  <c r="V6" i="5"/>
  <c r="V12" i="5"/>
  <c r="W5" i="5"/>
  <c r="W10" i="5" s="1"/>
  <c r="W13" i="5" l="1"/>
  <c r="W14" i="5" s="1"/>
  <c r="W9" i="5"/>
  <c r="W6" i="5"/>
  <c r="W12" i="5"/>
  <c r="X5" i="5"/>
  <c r="X10" i="5" s="1"/>
  <c r="X13" i="5" l="1"/>
  <c r="X14" i="5" s="1"/>
  <c r="X9" i="5"/>
  <c r="X6" i="5"/>
  <c r="X12" i="5"/>
  <c r="Y5" i="5"/>
  <c r="Y10" i="5" s="1"/>
  <c r="Y13" i="5" l="1"/>
  <c r="Y14" i="5" s="1"/>
  <c r="Y9" i="5"/>
  <c r="Y6" i="5"/>
  <c r="Y12" i="5"/>
  <c r="Z5" i="5"/>
  <c r="Z10" i="5" s="1"/>
  <c r="Z13" i="5" l="1"/>
  <c r="Z14" i="5" s="1"/>
  <c r="Z9" i="5"/>
  <c r="Z6" i="5"/>
  <c r="Z12" i="5"/>
  <c r="AA5" i="5"/>
  <c r="AA10" i="5" s="1"/>
  <c r="AA13" i="5" l="1"/>
  <c r="AA14" i="5" s="1"/>
  <c r="AA9" i="5"/>
  <c r="AA6" i="5"/>
  <c r="AA12" i="5"/>
  <c r="AB5" i="5"/>
  <c r="AB10" i="5" s="1"/>
  <c r="AB13" i="5" l="1"/>
  <c r="AB14" i="5" s="1"/>
  <c r="AB9" i="5"/>
  <c r="AB6" i="5"/>
  <c r="AB12" i="5"/>
  <c r="AC5" i="5"/>
  <c r="AC10" i="5" s="1"/>
  <c r="AC13" i="5" l="1"/>
  <c r="AC14" i="5" s="1"/>
  <c r="AC9" i="5"/>
  <c r="AC6" i="5"/>
  <c r="AC12" i="5"/>
  <c r="AD5" i="5"/>
  <c r="AD10" i="5" s="1"/>
  <c r="AD13" i="5" l="1"/>
  <c r="AD14" i="5" s="1"/>
  <c r="AD9" i="5"/>
  <c r="AD6" i="5"/>
  <c r="AD12" i="5"/>
  <c r="AE5" i="5"/>
  <c r="AE10" i="5" s="1"/>
  <c r="AE13" i="5" l="1"/>
  <c r="AE14" i="5" s="1"/>
  <c r="AE9" i="5"/>
  <c r="AE6" i="5"/>
  <c r="AE12" i="5"/>
  <c r="AF5" i="5"/>
  <c r="AF10" i="5" s="1"/>
  <c r="AF13" i="5" l="1"/>
  <c r="AF14" i="5" s="1"/>
  <c r="AF9" i="5"/>
  <c r="AF6" i="5"/>
  <c r="AF12" i="5"/>
  <c r="AG5" i="5"/>
  <c r="AG10" i="5" s="1"/>
  <c r="AG13" i="5" l="1"/>
  <c r="AG14" i="5" s="1"/>
  <c r="AG9" i="5"/>
  <c r="AG6" i="5"/>
  <c r="AG12" i="5"/>
  <c r="AH5" i="5"/>
  <c r="AH10" i="5" s="1"/>
  <c r="AH13" i="5" l="1"/>
  <c r="AH14" i="5" s="1"/>
  <c r="AH9" i="5"/>
  <c r="AH6" i="5"/>
  <c r="AH12" i="5"/>
  <c r="AI5" i="5"/>
  <c r="AI10" i="5" s="1"/>
  <c r="AI13" i="5" l="1"/>
  <c r="AI14" i="5" s="1"/>
  <c r="AI9" i="5"/>
  <c r="AI6" i="5"/>
  <c r="AI12" i="5"/>
  <c r="AJ5" i="5"/>
  <c r="AJ10" i="5" s="1"/>
  <c r="AJ13" i="5" l="1"/>
  <c r="AJ14" i="5" s="1"/>
  <c r="AJ9" i="5"/>
  <c r="AJ6" i="5"/>
  <c r="AJ12" i="5"/>
  <c r="AK5" i="5"/>
  <c r="AK10" i="5" s="1"/>
  <c r="AK13" i="5" l="1"/>
  <c r="AK14" i="5" s="1"/>
  <c r="AK9" i="5"/>
  <c r="AK6" i="5"/>
  <c r="AK12" i="5"/>
  <c r="AL5" i="5"/>
  <c r="AL10" i="5" s="1"/>
  <c r="AL13" i="5" l="1"/>
  <c r="AL14" i="5" s="1"/>
  <c r="AL9" i="5"/>
  <c r="AL6" i="5"/>
  <c r="AL12" i="5"/>
  <c r="AM5" i="5"/>
  <c r="AM10" i="5" s="1"/>
  <c r="AM13" i="5" l="1"/>
  <c r="AM14" i="5" s="1"/>
  <c r="AM9" i="5"/>
  <c r="AM6" i="5"/>
  <c r="AM12" i="5"/>
  <c r="AN5" i="5"/>
  <c r="AN10" i="5" s="1"/>
  <c r="AN13" i="5" l="1"/>
  <c r="AN14" i="5" s="1"/>
  <c r="AN9" i="5"/>
  <c r="AN6" i="5"/>
  <c r="AN12" i="5"/>
  <c r="AO5" i="5"/>
  <c r="AO10" i="5" s="1"/>
  <c r="AO13" i="5" l="1"/>
  <c r="AO14" i="5" s="1"/>
  <c r="AO9" i="5"/>
  <c r="AO6" i="5"/>
  <c r="AO12" i="5"/>
  <c r="AP5" i="5"/>
  <c r="AP10" i="5" s="1"/>
  <c r="AP13" i="5" l="1"/>
  <c r="AP14" i="5" s="1"/>
  <c r="AP9" i="5"/>
  <c r="AP6" i="5"/>
  <c r="AP12" i="5"/>
  <c r="AQ5" i="5"/>
  <c r="AQ10" i="5" s="1"/>
  <c r="AQ13" i="5" l="1"/>
  <c r="AQ14" i="5" s="1"/>
  <c r="AQ9" i="5"/>
  <c r="AQ6" i="5"/>
  <c r="AQ12" i="5"/>
  <c r="AR5" i="5"/>
  <c r="AR10" i="5" s="1"/>
  <c r="AR13" i="5" l="1"/>
  <c r="AR14" i="5" s="1"/>
  <c r="AR9" i="5"/>
  <c r="AR6" i="5"/>
  <c r="AR12" i="5"/>
  <c r="AS5" i="5"/>
  <c r="AS10" i="5" s="1"/>
  <c r="AS13" i="5" l="1"/>
  <c r="AS14" i="5" s="1"/>
  <c r="AS9" i="5"/>
  <c r="AS6" i="5"/>
  <c r="AS12" i="5"/>
  <c r="AT5" i="5"/>
  <c r="AT10" i="5" s="1"/>
  <c r="AT13" i="5" l="1"/>
  <c r="AT14" i="5" s="1"/>
  <c r="AT9" i="5"/>
  <c r="AT6" i="5"/>
  <c r="AT12" i="5"/>
  <c r="AU5" i="5"/>
  <c r="AU10" i="5" s="1"/>
  <c r="AU13" i="5" l="1"/>
  <c r="AU14" i="5" s="1"/>
  <c r="AU9" i="5"/>
  <c r="AU6" i="5"/>
  <c r="AU12" i="5"/>
  <c r="AV5" i="5"/>
  <c r="AV10" i="5" s="1"/>
  <c r="AV13" i="5" l="1"/>
  <c r="AV14" i="5" s="1"/>
  <c r="AV9" i="5"/>
  <c r="AV6" i="5"/>
  <c r="AV12" i="5"/>
  <c r="AW5" i="5"/>
  <c r="AW10" i="5" s="1"/>
  <c r="AW13" i="5" l="1"/>
  <c r="AW14" i="5" s="1"/>
  <c r="AW9" i="5"/>
  <c r="AW6" i="5"/>
  <c r="AW12" i="5"/>
  <c r="AX5" i="5"/>
  <c r="AX10" i="5" s="1"/>
  <c r="AX13" i="5" l="1"/>
  <c r="AX14" i="5" s="1"/>
  <c r="AX9" i="5"/>
  <c r="AX6" i="5"/>
  <c r="AX12" i="5"/>
  <c r="AY5" i="5"/>
  <c r="AY10" i="5" s="1"/>
  <c r="AY13" i="5" l="1"/>
  <c r="AY14" i="5" s="1"/>
  <c r="AY9" i="5"/>
  <c r="AY6" i="5"/>
  <c r="AY12" i="5"/>
  <c r="AZ5" i="5"/>
  <c r="AZ10" i="5" s="1"/>
  <c r="AZ13" i="5" l="1"/>
  <c r="AZ14" i="5" s="1"/>
  <c r="AZ9" i="5"/>
  <c r="AZ6" i="5"/>
  <c r="AZ12" i="5"/>
  <c r="BA5" i="5"/>
  <c r="BA10" i="5" s="1"/>
  <c r="BA13" i="5" l="1"/>
  <c r="BA14" i="5" s="1"/>
  <c r="BA9" i="5"/>
  <c r="BA6" i="5"/>
  <c r="BA12" i="5"/>
  <c r="BB5" i="5"/>
  <c r="BB10" i="5" s="1"/>
  <c r="BB13" i="5" l="1"/>
  <c r="BB14" i="5" s="1"/>
  <c r="BB9" i="5"/>
  <c r="BB6" i="5"/>
  <c r="BB12" i="5"/>
  <c r="BC5" i="5"/>
  <c r="BC10" i="5" s="1"/>
  <c r="BC13" i="5" l="1"/>
  <c r="BC14" i="5" s="1"/>
  <c r="BC9" i="5"/>
  <c r="BC6" i="5"/>
  <c r="BC12" i="5"/>
  <c r="BD5" i="5"/>
  <c r="BD10" i="5" s="1"/>
  <c r="BD13" i="5" l="1"/>
  <c r="BD14" i="5" s="1"/>
  <c r="BD9" i="5"/>
  <c r="BD6" i="5"/>
  <c r="BD12" i="5"/>
  <c r="BE5" i="5"/>
  <c r="BE10" i="5" s="1"/>
  <c r="BE13" i="5" l="1"/>
  <c r="BE14" i="5" s="1"/>
  <c r="BE9" i="5"/>
  <c r="BE6" i="5"/>
  <c r="BE12" i="5"/>
  <c r="BF5" i="5"/>
  <c r="BF10" i="5" s="1"/>
  <c r="BF13" i="5" l="1"/>
  <c r="BF14" i="5" s="1"/>
  <c r="BF9" i="5"/>
  <c r="BF6" i="5"/>
  <c r="BF12" i="5"/>
  <c r="BG5" i="5"/>
  <c r="BG10" i="5" s="1"/>
  <c r="BG13" i="5" l="1"/>
  <c r="BG14" i="5" s="1"/>
  <c r="BG9" i="5"/>
  <c r="BG6" i="5"/>
  <c r="BG12" i="5"/>
  <c r="BH5" i="5"/>
  <c r="BH10" i="5" s="1"/>
  <c r="BH13" i="5" l="1"/>
  <c r="BH14" i="5" s="1"/>
  <c r="BH9" i="5"/>
  <c r="BH6" i="5"/>
  <c r="BH12" i="5"/>
  <c r="BI5" i="5"/>
  <c r="BI10" i="5" s="1"/>
  <c r="BI13" i="5" l="1"/>
  <c r="BI14" i="5" s="1"/>
  <c r="BI9" i="5"/>
  <c r="BI6" i="5"/>
  <c r="BI12" i="5"/>
  <c r="BJ5" i="5"/>
  <c r="BJ10" i="5" s="1"/>
  <c r="BJ13" i="5" l="1"/>
  <c r="BJ14" i="5" s="1"/>
  <c r="BJ9" i="5"/>
  <c r="BJ6" i="5"/>
  <c r="BJ12" i="5"/>
  <c r="BK5" i="5"/>
  <c r="BK10" i="5" s="1"/>
  <c r="BK13" i="5" l="1"/>
  <c r="BK14" i="5" s="1"/>
  <c r="BK9" i="5"/>
  <c r="BK6" i="5"/>
  <c r="BK12" i="5"/>
  <c r="BL5" i="5"/>
  <c r="BL10" i="5" s="1"/>
  <c r="BL13" i="5" l="1"/>
  <c r="BL14" i="5" s="1"/>
  <c r="BL9" i="5"/>
  <c r="BL6" i="5"/>
  <c r="BL12" i="5"/>
  <c r="BM5" i="5"/>
  <c r="BM10" i="5" s="1"/>
  <c r="BM13" i="5" l="1"/>
  <c r="BM14" i="5" s="1"/>
  <c r="BM9" i="5"/>
  <c r="BM6" i="5"/>
  <c r="BM12" i="5"/>
  <c r="BN5" i="5"/>
  <c r="BN10" i="5" s="1"/>
  <c r="BN13" i="5" l="1"/>
  <c r="BN14" i="5" s="1"/>
  <c r="BN9" i="5"/>
  <c r="BN6" i="5"/>
  <c r="BN12" i="5"/>
  <c r="BO5" i="5"/>
  <c r="BO10" i="5" s="1"/>
  <c r="BO13" i="5" l="1"/>
  <c r="BO14" i="5" s="1"/>
  <c r="BO9" i="5"/>
  <c r="BO6" i="5"/>
  <c r="BO12" i="5"/>
  <c r="BP5" i="5"/>
  <c r="BP10" i="5" s="1"/>
  <c r="BP13" i="5" l="1"/>
  <c r="BP14" i="5" s="1"/>
  <c r="BP9" i="5"/>
  <c r="BP6" i="5"/>
  <c r="BP12" i="5"/>
  <c r="BQ5" i="5"/>
  <c r="BQ10" i="5" s="1"/>
  <c r="BQ13" i="5" l="1"/>
  <c r="BQ14" i="5" s="1"/>
  <c r="BQ9" i="5"/>
  <c r="BQ6" i="5"/>
  <c r="BQ12" i="5"/>
  <c r="BR5" i="5"/>
  <c r="BR10" i="5" s="1"/>
  <c r="BR13" i="5" l="1"/>
  <c r="BR14" i="5" s="1"/>
  <c r="BR9" i="5"/>
  <c r="BR6" i="5"/>
  <c r="BR12" i="5"/>
  <c r="BS5" i="5"/>
  <c r="BS10" i="5" s="1"/>
  <c r="BS13" i="5" l="1"/>
  <c r="BS14" i="5" s="1"/>
  <c r="BS9" i="5"/>
  <c r="BS6" i="5"/>
  <c r="BS12" i="5"/>
  <c r="BT5" i="5"/>
  <c r="BT10" i="5" s="1"/>
  <c r="BT13" i="5" l="1"/>
  <c r="BT14" i="5" s="1"/>
  <c r="BT9" i="5"/>
  <c r="BT6" i="5"/>
  <c r="BT12" i="5"/>
  <c r="BU5" i="5"/>
  <c r="BU10" i="5" s="1"/>
  <c r="BU13" i="5" l="1"/>
  <c r="BU14" i="5" s="1"/>
  <c r="BU9" i="5"/>
  <c r="BU6" i="5"/>
  <c r="BU12" i="5"/>
  <c r="D11" i="5"/>
  <c r="E11" i="5" s="1"/>
  <c r="F11" i="5" s="1"/>
  <c r="G11" i="5" s="1"/>
  <c r="H11" i="5" s="1"/>
  <c r="I11" i="5" s="1"/>
  <c r="J11" i="5" s="1"/>
  <c r="K11" i="5" s="1"/>
  <c r="L11" i="5" s="1"/>
  <c r="M11" i="5" s="1"/>
  <c r="N11" i="5" s="1"/>
  <c r="O11" i="5" s="1"/>
  <c r="P11" i="5" s="1"/>
  <c r="Q11" i="5" s="1"/>
  <c r="R11" i="5" s="1"/>
  <c r="S11" i="5" s="1"/>
  <c r="T11" i="5" s="1"/>
  <c r="U11" i="5" s="1"/>
  <c r="V11" i="5" s="1"/>
  <c r="W11" i="5" s="1"/>
  <c r="X11" i="5" s="1"/>
  <c r="Y11" i="5" s="1"/>
  <c r="Z11" i="5" s="1"/>
  <c r="AA11" i="5" s="1"/>
  <c r="AB11" i="5" s="1"/>
  <c r="AC11" i="5" s="1"/>
  <c r="AD11" i="5" s="1"/>
  <c r="AE11" i="5" s="1"/>
  <c r="AF11" i="5" s="1"/>
  <c r="AG11" i="5" s="1"/>
  <c r="AH11" i="5" s="1"/>
  <c r="AI11" i="5" s="1"/>
  <c r="AJ11" i="5" s="1"/>
  <c r="AK11" i="5" s="1"/>
  <c r="AL11" i="5" s="1"/>
  <c r="AM11" i="5" s="1"/>
  <c r="AN11" i="5" s="1"/>
  <c r="AO11" i="5" s="1"/>
  <c r="AP11" i="5" s="1"/>
  <c r="AQ11" i="5" s="1"/>
  <c r="AR11" i="5" s="1"/>
  <c r="AS11" i="5" s="1"/>
  <c r="AT11" i="5" s="1"/>
  <c r="AU11" i="5" s="1"/>
  <c r="AV11" i="5" s="1"/>
  <c r="AW11" i="5" s="1"/>
  <c r="AX11" i="5" s="1"/>
  <c r="AY11" i="5" s="1"/>
  <c r="AZ11" i="5" s="1"/>
  <c r="BA11" i="5" s="1"/>
  <c r="BB11" i="5" s="1"/>
  <c r="BC11" i="5" s="1"/>
  <c r="BD11" i="5" s="1"/>
  <c r="BE11" i="5" s="1"/>
  <c r="BF11" i="5" s="1"/>
  <c r="BG11" i="5" s="1"/>
  <c r="BH11" i="5" s="1"/>
  <c r="BI11" i="5" s="1"/>
  <c r="BJ11" i="5" s="1"/>
  <c r="BK11" i="5" s="1"/>
  <c r="BL11" i="5" s="1"/>
  <c r="BM11" i="5" s="1"/>
  <c r="BN11" i="5" s="1"/>
  <c r="BO11" i="5" s="1"/>
  <c r="BP11" i="5" s="1"/>
  <c r="BQ11" i="5" s="1"/>
  <c r="BR11" i="5" s="1"/>
  <c r="BS11" i="5" s="1"/>
  <c r="BT11" i="5" s="1"/>
  <c r="BU11" i="5" l="1"/>
  <c r="I13" i="2" l="1"/>
  <c r="I16" i="2" l="1"/>
  <c r="I17" i="2"/>
  <c r="AH7" i="5" l="1"/>
  <c r="AJ7" i="5"/>
  <c r="BN7" i="5"/>
  <c r="AU7" i="5"/>
  <c r="H7" i="5"/>
  <c r="BM7" i="5"/>
  <c r="R7" i="5"/>
  <c r="P7" i="5"/>
  <c r="AF7" i="5"/>
  <c r="U7" i="5"/>
  <c r="Z7" i="5"/>
  <c r="D4" i="2"/>
  <c r="N7" i="5"/>
  <c r="AL7" i="5"/>
  <c r="E7" i="5"/>
  <c r="X7" i="5"/>
  <c r="W7" i="5"/>
  <c r="AX7" i="5"/>
  <c r="O7" i="5"/>
  <c r="BO7" i="5"/>
  <c r="BS7" i="5"/>
  <c r="BH7" i="5"/>
  <c r="D7" i="5"/>
  <c r="J7" i="5"/>
  <c r="G7" i="5"/>
  <c r="BK7" i="5"/>
  <c r="AD7" i="5"/>
  <c r="C7" i="5"/>
  <c r="C8" i="5" s="1"/>
  <c r="BG7" i="5"/>
  <c r="I7" i="5"/>
  <c r="AM7" i="5"/>
  <c r="AS7" i="5"/>
  <c r="BA7" i="5"/>
  <c r="BR7" i="5"/>
  <c r="AZ7" i="5"/>
  <c r="F7" i="5"/>
  <c r="AO7" i="5"/>
  <c r="BU7" i="5"/>
  <c r="AP7" i="5"/>
  <c r="V7" i="5"/>
  <c r="AE7" i="5"/>
  <c r="AQ7" i="5"/>
  <c r="L7" i="5"/>
  <c r="AY7" i="5"/>
  <c r="AK7" i="5"/>
  <c r="BD7" i="5"/>
  <c r="T7" i="5"/>
  <c r="BJ7" i="5"/>
  <c r="Q7" i="5"/>
  <c r="S7" i="5"/>
  <c r="Y7" i="5"/>
  <c r="BT7" i="5"/>
  <c r="BP7" i="5"/>
  <c r="BF7" i="5"/>
  <c r="AG7" i="5"/>
  <c r="M7" i="5"/>
  <c r="AA7" i="5"/>
  <c r="AC7" i="5"/>
  <c r="AI7" i="5"/>
  <c r="AW7" i="5"/>
  <c r="AT7" i="5"/>
  <c r="AR7" i="5"/>
  <c r="K7" i="5"/>
  <c r="BQ7" i="5"/>
  <c r="BE7" i="5"/>
  <c r="AB7" i="5"/>
  <c r="AV7" i="5"/>
  <c r="AN7" i="5"/>
  <c r="BC7" i="5"/>
  <c r="BI7" i="5"/>
  <c r="BB7" i="5"/>
  <c r="BL7" i="5"/>
  <c r="D8" i="5" l="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AQ8" i="5" s="1"/>
  <c r="AR8" i="5" s="1"/>
  <c r="AS8" i="5" s="1"/>
  <c r="AT8" i="5" s="1"/>
  <c r="AU8" i="5" s="1"/>
  <c r="AV8" i="5" s="1"/>
  <c r="AW8" i="5" s="1"/>
  <c r="AX8" i="5" s="1"/>
  <c r="AY8" i="5" s="1"/>
  <c r="AZ8" i="5" s="1"/>
  <c r="BA8" i="5" s="1"/>
  <c r="BB8" i="5" s="1"/>
  <c r="BC8" i="5" s="1"/>
  <c r="BD8" i="5" s="1"/>
  <c r="BE8" i="5" s="1"/>
  <c r="BF8" i="5" s="1"/>
  <c r="BG8" i="5" s="1"/>
  <c r="BH8" i="5" s="1"/>
  <c r="BI8" i="5" s="1"/>
  <c r="BJ8" i="5" s="1"/>
  <c r="BK8" i="5" s="1"/>
  <c r="BL8" i="5" s="1"/>
  <c r="BM8" i="5" s="1"/>
  <c r="BN8" i="5" s="1"/>
  <c r="BO8" i="5" s="1"/>
  <c r="BP8" i="5" s="1"/>
  <c r="BQ8" i="5" s="1"/>
  <c r="BR8" i="5" s="1"/>
  <c r="BS8" i="5" s="1"/>
  <c r="BT8" i="5" s="1"/>
  <c r="BU8" i="5" s="1"/>
</calcChain>
</file>

<file path=xl/sharedStrings.xml><?xml version="1.0" encoding="utf-8"?>
<sst xmlns="http://schemas.openxmlformats.org/spreadsheetml/2006/main" count="1019" uniqueCount="486">
  <si>
    <t>試験項目書_Ne-OpS名整合性チェック</t>
    <rPh sb="0" eb="2">
      <t>シケン</t>
    </rPh>
    <rPh sb="2" eb="4">
      <t>コウモク</t>
    </rPh>
    <rPh sb="4" eb="5">
      <t>ショ</t>
    </rPh>
    <rPh sb="12" eb="16">
      <t>メイセイゴウセイ</t>
    </rPh>
    <phoneticPr fontId="9"/>
  </si>
  <si>
    <t>&lt;変更履歴&gt;</t>
  </si>
  <si>
    <t>版数</t>
  </si>
  <si>
    <t>日付</t>
  </si>
  <si>
    <t>変更者</t>
  </si>
  <si>
    <t>変更内容</t>
    <rPh sb="0" eb="2">
      <t>ヘンコウ</t>
    </rPh>
    <rPh sb="2" eb="4">
      <t>ナイヨウ</t>
    </rPh>
    <phoneticPr fontId="14"/>
  </si>
  <si>
    <t>1.00</t>
    <phoneticPr fontId="5"/>
  </si>
  <si>
    <t>2026/5/28</t>
    <phoneticPr fontId="5"/>
  </si>
  <si>
    <t>土橋</t>
    <rPh sb="0" eb="2">
      <t>ツチハシ</t>
    </rPh>
    <phoneticPr fontId="14"/>
  </si>
  <si>
    <t>2026C_L1EOL対応STEP3(JP5移設)
新規作成</t>
    <rPh sb="11" eb="13">
      <t>タイオウ</t>
    </rPh>
    <rPh sb="22" eb="24">
      <t>イセツ</t>
    </rPh>
    <rPh sb="26" eb="30">
      <t>シンキサクセイ</t>
    </rPh>
    <phoneticPr fontId="5"/>
  </si>
  <si>
    <t>テストフェース</t>
    <phoneticPr fontId="5"/>
  </si>
  <si>
    <t>ST_システムテスト</t>
  </si>
  <si>
    <t>テスト概要</t>
    <rPh sb="3" eb="5">
      <t>ガイヨウ</t>
    </rPh>
    <phoneticPr fontId="5"/>
  </si>
  <si>
    <t>当該バッチの正常実行確認
新旧比較による性能（負荷）観点の確認</t>
    <rPh sb="0" eb="2">
      <t>トウガイ</t>
    </rPh>
    <rPh sb="6" eb="8">
      <t>セイジョウ</t>
    </rPh>
    <rPh sb="8" eb="10">
      <t>ジッコウ</t>
    </rPh>
    <rPh sb="10" eb="12">
      <t>カクニン</t>
    </rPh>
    <rPh sb="13" eb="15">
      <t>シンキュウ</t>
    </rPh>
    <rPh sb="15" eb="17">
      <t>ヒカク</t>
    </rPh>
    <rPh sb="20" eb="22">
      <t>セイノウ</t>
    </rPh>
    <rPh sb="23" eb="25">
      <t>フカ</t>
    </rPh>
    <rPh sb="26" eb="28">
      <t>カンテン</t>
    </rPh>
    <rPh sb="29" eb="31">
      <t>カクニン</t>
    </rPh>
    <phoneticPr fontId="11"/>
  </si>
  <si>
    <t>テスト対象（機能/クラス）</t>
    <rPh sb="3" eb="5">
      <t>タイショウ</t>
    </rPh>
    <rPh sb="6" eb="8">
      <t>キノウ</t>
    </rPh>
    <phoneticPr fontId="5"/>
  </si>
  <si>
    <t>Ne-OpS名整合性チェック（CDDB2000）バッチ</t>
    <rPh sb="6" eb="7">
      <t>メイ</t>
    </rPh>
    <rPh sb="7" eb="10">
      <t>セイゴウセイ</t>
    </rPh>
    <phoneticPr fontId="5"/>
  </si>
  <si>
    <t>テストスコープ</t>
    <phoneticPr fontId="5"/>
  </si>
  <si>
    <t>テスト対象要件①</t>
    <rPh sb="3" eb="5">
      <t>タイショウ</t>
    </rPh>
    <rPh sb="5" eb="7">
      <t>ヨウケン</t>
    </rPh>
    <phoneticPr fontId="5"/>
  </si>
  <si>
    <t>Ne-OpS名整合性チェック（CDDB2000）バッチの性能確認（新旧比較）</t>
    <rPh sb="28" eb="30">
      <t>セイノウ</t>
    </rPh>
    <rPh sb="30" eb="32">
      <t>カクニン</t>
    </rPh>
    <rPh sb="33" eb="35">
      <t>シンキュウ</t>
    </rPh>
    <rPh sb="35" eb="37">
      <t>ヒカク</t>
    </rPh>
    <phoneticPr fontId="3"/>
  </si>
  <si>
    <t>テスト対象要件②</t>
    <rPh sb="3" eb="5">
      <t>タイショウ</t>
    </rPh>
    <rPh sb="5" eb="7">
      <t>ヨウケン</t>
    </rPh>
    <phoneticPr fontId="5"/>
  </si>
  <si>
    <t>テスト対象要件③</t>
    <rPh sb="3" eb="5">
      <t>タイショウ</t>
    </rPh>
    <rPh sb="5" eb="7">
      <t>ヨウケン</t>
    </rPh>
    <phoneticPr fontId="5"/>
  </si>
  <si>
    <t>回帰確認①</t>
    <rPh sb="0" eb="2">
      <t>カイキ</t>
    </rPh>
    <rPh sb="2" eb="4">
      <t>カクニン</t>
    </rPh>
    <phoneticPr fontId="5"/>
  </si>
  <si>
    <t>NeOps名が正しいルールでついていること</t>
    <rPh sb="5" eb="6">
      <t>メイ</t>
    </rPh>
    <rPh sb="7" eb="8">
      <t>タダ</t>
    </rPh>
    <phoneticPr fontId="5"/>
  </si>
  <si>
    <t>回帰確認②</t>
    <phoneticPr fontId="5"/>
  </si>
  <si>
    <t>スタブ・モック情報</t>
    <rPh sb="7" eb="9">
      <t>ジョウホウ</t>
    </rPh>
    <phoneticPr fontId="5"/>
  </si>
  <si>
    <t>なし</t>
    <phoneticPr fontId="5"/>
  </si>
  <si>
    <t>テスト環境</t>
    <rPh sb="3" eb="5">
      <t>カンキョウ</t>
    </rPh>
    <phoneticPr fontId="5"/>
  </si>
  <si>
    <t>習熟環境</t>
    <rPh sb="0" eb="2">
      <t>シュウジュク</t>
    </rPh>
    <rPh sb="2" eb="4">
      <t>カンキョウ</t>
    </rPh>
    <phoneticPr fontId="5"/>
  </si>
  <si>
    <t>試験実施方法</t>
    <rPh sb="0" eb="2">
      <t>シケン</t>
    </rPh>
    <rPh sb="2" eb="4">
      <t>ジッシ</t>
    </rPh>
    <rPh sb="4" eb="6">
      <t>ホウホウ</t>
    </rPh>
    <phoneticPr fontId="5"/>
  </si>
  <si>
    <t>シェル実行にて確認</t>
    <rPh sb="3" eb="5">
      <t>ジッコウ</t>
    </rPh>
    <rPh sb="7" eb="9">
      <t>カクニン</t>
    </rPh>
    <phoneticPr fontId="5"/>
  </si>
  <si>
    <t>試験項目レビューチェック</t>
    <rPh sb="0" eb="2">
      <t>シケン</t>
    </rPh>
    <rPh sb="2" eb="4">
      <t>コウモク</t>
    </rPh>
    <phoneticPr fontId="5"/>
  </si>
  <si>
    <t>No</t>
    <phoneticPr fontId="5"/>
  </si>
  <si>
    <t>大分類</t>
    <rPh sb="0" eb="3">
      <t>ダイブンルイ</t>
    </rPh>
    <phoneticPr fontId="5"/>
  </si>
  <si>
    <t>小分類</t>
    <rPh sb="0" eb="3">
      <t>ショウブンルイ</t>
    </rPh>
    <phoneticPr fontId="5"/>
  </si>
  <si>
    <t>チェック内容</t>
    <rPh sb="4" eb="6">
      <t>ナイヨウ</t>
    </rPh>
    <phoneticPr fontId="5"/>
  </si>
  <si>
    <t>対象</t>
    <rPh sb="0" eb="2">
      <t>タイショウ</t>
    </rPh>
    <phoneticPr fontId="5"/>
  </si>
  <si>
    <t>記載者</t>
    <rPh sb="0" eb="2">
      <t>キサイ</t>
    </rPh>
    <rPh sb="2" eb="3">
      <t>シャ</t>
    </rPh>
    <phoneticPr fontId="5"/>
  </si>
  <si>
    <t>記載日</t>
    <rPh sb="0" eb="2">
      <t>キサイ</t>
    </rPh>
    <rPh sb="2" eb="3">
      <t>ビ</t>
    </rPh>
    <phoneticPr fontId="5"/>
  </si>
  <si>
    <t>確認者</t>
    <rPh sb="0" eb="2">
      <t>カクニン</t>
    </rPh>
    <rPh sb="2" eb="3">
      <t>シャ</t>
    </rPh>
    <phoneticPr fontId="5"/>
  </si>
  <si>
    <t>確認日</t>
    <rPh sb="0" eb="2">
      <t>カクニン</t>
    </rPh>
    <rPh sb="2" eb="3">
      <t>ビ</t>
    </rPh>
    <phoneticPr fontId="5"/>
  </si>
  <si>
    <t>実施要領</t>
    <rPh sb="0" eb="2">
      <t>ジッシ</t>
    </rPh>
    <rPh sb="2" eb="4">
      <t>ヨウリョウ</t>
    </rPh>
    <phoneticPr fontId="5"/>
  </si>
  <si>
    <t>テスト対象</t>
    <rPh sb="3" eb="5">
      <t>タイショウ</t>
    </rPh>
    <phoneticPr fontId="5"/>
  </si>
  <si>
    <t>テスト対象に相違はないか？</t>
    <rPh sb="3" eb="5">
      <t>タイショウ</t>
    </rPh>
    <rPh sb="6" eb="8">
      <t>ソウイ</t>
    </rPh>
    <phoneticPr fontId="5"/>
  </si>
  <si>
    <t>○</t>
  </si>
  <si>
    <t>土橋</t>
    <rPh sb="0" eb="2">
      <t>ツチハシ</t>
    </rPh>
    <phoneticPr fontId="3"/>
  </si>
  <si>
    <t>テストを実施する要件や回帰テストに対する実施範囲に相違はないか？</t>
    <rPh sb="4" eb="6">
      <t>ジッシ</t>
    </rPh>
    <rPh sb="8" eb="10">
      <t>ヨウケン</t>
    </rPh>
    <rPh sb="11" eb="13">
      <t>カイキ</t>
    </rPh>
    <rPh sb="17" eb="18">
      <t>タイ</t>
    </rPh>
    <rPh sb="20" eb="22">
      <t>ジッシ</t>
    </rPh>
    <rPh sb="22" eb="24">
      <t>ハンイ</t>
    </rPh>
    <rPh sb="25" eb="27">
      <t>ソウイ</t>
    </rPh>
    <phoneticPr fontId="5"/>
  </si>
  <si>
    <t>スタブ・モック情報</t>
    <phoneticPr fontId="5"/>
  </si>
  <si>
    <t>スタブ・モック化する処理、機能に相違はないか？</t>
    <rPh sb="7" eb="8">
      <t>カ</t>
    </rPh>
    <rPh sb="10" eb="12">
      <t>ショリ</t>
    </rPh>
    <rPh sb="13" eb="15">
      <t>キノウ</t>
    </rPh>
    <rPh sb="16" eb="18">
      <t>ソウイ</t>
    </rPh>
    <phoneticPr fontId="5"/>
  </si>
  <si>
    <t>-</t>
  </si>
  <si>
    <t>テスト環境</t>
    <phoneticPr fontId="5"/>
  </si>
  <si>
    <t>テスト実施する環境に相違はないか？</t>
    <rPh sb="3" eb="5">
      <t>ジッシ</t>
    </rPh>
    <rPh sb="7" eb="9">
      <t>カンキョウ</t>
    </rPh>
    <rPh sb="10" eb="12">
      <t>ソウイ</t>
    </rPh>
    <phoneticPr fontId="5"/>
  </si>
  <si>
    <t>試験実施方法</t>
    <phoneticPr fontId="5"/>
  </si>
  <si>
    <t>試験実施方法に相違はないか？</t>
    <rPh sb="0" eb="2">
      <t>シケン</t>
    </rPh>
    <rPh sb="2" eb="4">
      <t>ジッシ</t>
    </rPh>
    <rPh sb="4" eb="6">
      <t>ホウホウ</t>
    </rPh>
    <rPh sb="7" eb="9">
      <t>ソウイ</t>
    </rPh>
    <phoneticPr fontId="5"/>
  </si>
  <si>
    <t>入力</t>
    <rPh sb="0" eb="2">
      <t>ニュウリョク</t>
    </rPh>
    <phoneticPr fontId="5"/>
  </si>
  <si>
    <t>バリエーション</t>
    <phoneticPr fontId="5"/>
  </si>
  <si>
    <t>入力値に対するバリエーションはパターン表およびデシジョン表にて網羅されているか？</t>
    <rPh sb="0" eb="2">
      <t>ニュウリョク</t>
    </rPh>
    <rPh sb="2" eb="3">
      <t>アタイ</t>
    </rPh>
    <rPh sb="4" eb="5">
      <t>タイ</t>
    </rPh>
    <rPh sb="19" eb="20">
      <t>ヒョウ</t>
    </rPh>
    <rPh sb="28" eb="29">
      <t>ヒョウ</t>
    </rPh>
    <rPh sb="31" eb="33">
      <t>モウラ</t>
    </rPh>
    <phoneticPr fontId="5"/>
  </si>
  <si>
    <t>特殊値</t>
    <rPh sb="0" eb="2">
      <t>トクシュ</t>
    </rPh>
    <rPh sb="2" eb="3">
      <t>アタイ</t>
    </rPh>
    <phoneticPr fontId="5"/>
  </si>
  <si>
    <t>特殊な値が試験項目に考慮されているか？
　 ・NULL、空文字、スペース、エスケープシーケンス（\t, \nなど）、機種依存文字、
　　日付フォーマット</t>
    <rPh sb="0" eb="2">
      <t>トクシュ</t>
    </rPh>
    <rPh sb="3" eb="4">
      <t>アタイ</t>
    </rPh>
    <rPh sb="5" eb="7">
      <t>シケン</t>
    </rPh>
    <rPh sb="7" eb="9">
      <t>コウモク</t>
    </rPh>
    <rPh sb="10" eb="12">
      <t>コウリョ</t>
    </rPh>
    <phoneticPr fontId="5"/>
  </si>
  <si>
    <t>環境依存</t>
    <phoneticPr fontId="5"/>
  </si>
  <si>
    <t>環境依存に起因するテスト項目が網羅されているか？</t>
    <phoneticPr fontId="5"/>
  </si>
  <si>
    <t>有無</t>
    <rPh sb="0" eb="2">
      <t>ウム</t>
    </rPh>
    <phoneticPr fontId="5"/>
  </si>
  <si>
    <t>入力値の有無が試験項目に考慮されているか？</t>
    <rPh sb="0" eb="2">
      <t>ニュウリョク</t>
    </rPh>
    <rPh sb="2" eb="3">
      <t>アタイ</t>
    </rPh>
    <rPh sb="4" eb="6">
      <t>ウム</t>
    </rPh>
    <rPh sb="7" eb="9">
      <t>シケン</t>
    </rPh>
    <rPh sb="9" eb="11">
      <t>コウモク</t>
    </rPh>
    <rPh sb="12" eb="14">
      <t>コウリョ</t>
    </rPh>
    <phoneticPr fontId="5"/>
  </si>
  <si>
    <t>処理/機能/業務</t>
    <rPh sb="0" eb="2">
      <t>ショリ</t>
    </rPh>
    <rPh sb="3" eb="5">
      <t>キノウ</t>
    </rPh>
    <rPh sb="6" eb="8">
      <t>ギョウム</t>
    </rPh>
    <phoneticPr fontId="5"/>
  </si>
  <si>
    <t>テストする処理/機能/業務はパターン表およびディシジョン表にて網羅されているか？</t>
    <rPh sb="5" eb="7">
      <t>ショリ</t>
    </rPh>
    <rPh sb="8" eb="10">
      <t>キノウ</t>
    </rPh>
    <rPh sb="11" eb="13">
      <t>ギョウム</t>
    </rPh>
    <rPh sb="18" eb="19">
      <t>ヒョウ</t>
    </rPh>
    <rPh sb="28" eb="29">
      <t>ヒョウ</t>
    </rPh>
    <rPh sb="31" eb="33">
      <t>モウラ</t>
    </rPh>
    <phoneticPr fontId="5"/>
  </si>
  <si>
    <t>チェック処理</t>
    <rPh sb="4" eb="6">
      <t>ショリ</t>
    </rPh>
    <phoneticPr fontId="5"/>
  </si>
  <si>
    <t>①チェック内容については設計書に記載されている内容が網羅されているか？
②チェックに利用する値については境界、最大、最少が考慮されているか？
③タイミングおよびメッセージorログについての確認も考慮されているか？</t>
    <rPh sb="5" eb="7">
      <t>ナイヨウ</t>
    </rPh>
    <rPh sb="12" eb="15">
      <t>セッケイショ</t>
    </rPh>
    <rPh sb="16" eb="18">
      <t>キサイ</t>
    </rPh>
    <rPh sb="23" eb="25">
      <t>ナイヨウ</t>
    </rPh>
    <rPh sb="26" eb="28">
      <t>モウラ</t>
    </rPh>
    <rPh sb="42" eb="44">
      <t>リヨウ</t>
    </rPh>
    <rPh sb="46" eb="47">
      <t>アタイ</t>
    </rPh>
    <rPh sb="52" eb="54">
      <t>キョウカイ</t>
    </rPh>
    <rPh sb="55" eb="57">
      <t>サイダイ</t>
    </rPh>
    <rPh sb="58" eb="60">
      <t>サイショウ</t>
    </rPh>
    <rPh sb="61" eb="63">
      <t>コウリョ</t>
    </rPh>
    <rPh sb="94" eb="96">
      <t>カクニン</t>
    </rPh>
    <rPh sb="97" eb="99">
      <t>コウリョ</t>
    </rPh>
    <phoneticPr fontId="5"/>
  </si>
  <si>
    <t>制御処理（主にUT）</t>
    <rPh sb="0" eb="2">
      <t>セイギョ</t>
    </rPh>
    <rPh sb="2" eb="4">
      <t>ショリ</t>
    </rPh>
    <rPh sb="5" eb="6">
      <t>オモ</t>
    </rPh>
    <phoneticPr fontId="5"/>
  </si>
  <si>
    <t>①ループ処理、条件分岐は境界、最大、最少が考慮されているか？
　 例：ループ0回、1回、通常回数、最大回数、最大回数－1回のパターンを確認する
②例外処理も含めてた命令の網羅が考慮されているか？</t>
    <rPh sb="4" eb="6">
      <t>ショリ</t>
    </rPh>
    <rPh sb="7" eb="9">
      <t>ジョウケン</t>
    </rPh>
    <rPh sb="9" eb="11">
      <t>ブンキ</t>
    </rPh>
    <rPh sb="12" eb="14">
      <t>キョウカイ</t>
    </rPh>
    <rPh sb="15" eb="17">
      <t>サイダイ</t>
    </rPh>
    <rPh sb="18" eb="20">
      <t>サイショウ</t>
    </rPh>
    <rPh sb="21" eb="23">
      <t>コウリョ</t>
    </rPh>
    <rPh sb="73" eb="75">
      <t>レイガイ</t>
    </rPh>
    <rPh sb="75" eb="77">
      <t>ショリ</t>
    </rPh>
    <rPh sb="78" eb="79">
      <t>フク</t>
    </rPh>
    <rPh sb="82" eb="84">
      <t>メイレイ</t>
    </rPh>
    <rPh sb="85" eb="87">
      <t>モウラ</t>
    </rPh>
    <rPh sb="88" eb="90">
      <t>コウリョ</t>
    </rPh>
    <phoneticPr fontId="5"/>
  </si>
  <si>
    <t>編集処理</t>
    <rPh sb="0" eb="2">
      <t>ヘンシュウ</t>
    </rPh>
    <rPh sb="2" eb="4">
      <t>ショリ</t>
    </rPh>
    <phoneticPr fontId="5"/>
  </si>
  <si>
    <t>編集内容のバリエーションがパターン表およびディシジョン表にて網羅されているか？</t>
    <rPh sb="0" eb="2">
      <t>ヘンシュウ</t>
    </rPh>
    <rPh sb="2" eb="4">
      <t>ナイヨウ</t>
    </rPh>
    <rPh sb="17" eb="18">
      <t>ヒョウ</t>
    </rPh>
    <rPh sb="27" eb="28">
      <t>ヒョウ</t>
    </rPh>
    <rPh sb="30" eb="32">
      <t>モウラ</t>
    </rPh>
    <phoneticPr fontId="5"/>
  </si>
  <si>
    <t>処理/機能/業務フロー</t>
    <rPh sb="0" eb="2">
      <t>ショリ</t>
    </rPh>
    <rPh sb="3" eb="5">
      <t>キノウ</t>
    </rPh>
    <rPh sb="6" eb="8">
      <t>ギョウム</t>
    </rPh>
    <phoneticPr fontId="5"/>
  </si>
  <si>
    <t>①処理フロー、機能フロー、業務フローがパターン表およびディシジョン表にて網羅されているか？
②例外について網羅されているか？</t>
    <rPh sb="1" eb="3">
      <t>ショリ</t>
    </rPh>
    <rPh sb="7" eb="9">
      <t>キノウ</t>
    </rPh>
    <rPh sb="13" eb="15">
      <t>ギョウム</t>
    </rPh>
    <rPh sb="23" eb="24">
      <t>ヒョウ</t>
    </rPh>
    <rPh sb="33" eb="34">
      <t>ヒョウ</t>
    </rPh>
    <rPh sb="36" eb="38">
      <t>モウラ</t>
    </rPh>
    <rPh sb="47" eb="49">
      <t>レイガイ</t>
    </rPh>
    <rPh sb="53" eb="55">
      <t>モウラ</t>
    </rPh>
    <phoneticPr fontId="5"/>
  </si>
  <si>
    <t>トランザクション</t>
    <phoneticPr fontId="5"/>
  </si>
  <si>
    <t>トランザクションの確認は網羅されているか？</t>
    <rPh sb="9" eb="11">
      <t>カクニン</t>
    </rPh>
    <rPh sb="12" eb="14">
      <t>モウラ</t>
    </rPh>
    <phoneticPr fontId="5"/>
  </si>
  <si>
    <t>出力</t>
    <rPh sb="0" eb="2">
      <t>シュツリョク</t>
    </rPh>
    <phoneticPr fontId="5"/>
  </si>
  <si>
    <t>各出力値のバリエーションはパターン表およびディシジョン表にて網羅されているか？</t>
    <rPh sb="0" eb="1">
      <t>カク</t>
    </rPh>
    <rPh sb="1" eb="3">
      <t>シュツリョク</t>
    </rPh>
    <rPh sb="3" eb="4">
      <t>アタイ</t>
    </rPh>
    <rPh sb="17" eb="18">
      <t>ヒョウ</t>
    </rPh>
    <rPh sb="27" eb="28">
      <t>ヒョウ</t>
    </rPh>
    <rPh sb="30" eb="32">
      <t>モウラ</t>
    </rPh>
    <phoneticPr fontId="5"/>
  </si>
  <si>
    <t>メッセージ/ログ</t>
    <phoneticPr fontId="5"/>
  </si>
  <si>
    <t>①出力されるメッセージ/ログは網羅的に確認されているか？
②置換文字のパターンも含め網羅されているか？</t>
    <rPh sb="1" eb="3">
      <t>シュツリョク</t>
    </rPh>
    <rPh sb="15" eb="17">
      <t>モウラ</t>
    </rPh>
    <rPh sb="17" eb="18">
      <t>テキ</t>
    </rPh>
    <rPh sb="19" eb="21">
      <t>カクニン</t>
    </rPh>
    <rPh sb="30" eb="32">
      <t>チカン</t>
    </rPh>
    <rPh sb="32" eb="34">
      <t>モジ</t>
    </rPh>
    <rPh sb="40" eb="41">
      <t>フク</t>
    </rPh>
    <rPh sb="42" eb="44">
      <t>モウラ</t>
    </rPh>
    <phoneticPr fontId="5"/>
  </si>
  <si>
    <t>レイアウト</t>
    <phoneticPr fontId="5"/>
  </si>
  <si>
    <t>①レイアウトの確認点が網羅されているか？
　 ・表示位置、配置、色、サイズ、フォント、フォーマット、カーソル位置、
　　タブ、スクロール位置、印刷サイズ
②各項目の表示・非表示の確認点が網羅されているか？</t>
    <rPh sb="7" eb="9">
      <t>カクニン</t>
    </rPh>
    <rPh sb="9" eb="10">
      <t>テン</t>
    </rPh>
    <rPh sb="11" eb="13">
      <t>モウラ</t>
    </rPh>
    <rPh sb="24" eb="26">
      <t>ヒョウジ</t>
    </rPh>
    <rPh sb="26" eb="28">
      <t>イチ</t>
    </rPh>
    <rPh sb="54" eb="56">
      <t>イチ</t>
    </rPh>
    <rPh sb="71" eb="73">
      <t>インサツ</t>
    </rPh>
    <phoneticPr fontId="5"/>
  </si>
  <si>
    <t>状態遷移</t>
    <rPh sb="0" eb="2">
      <t>ジョウタイ</t>
    </rPh>
    <rPh sb="2" eb="4">
      <t>センイ</t>
    </rPh>
    <phoneticPr fontId="5"/>
  </si>
  <si>
    <t>状態遷移に対するバリエーションがパターン表およびディシジョン表にて網羅されているか？</t>
    <rPh sb="0" eb="2">
      <t>ジョウタイ</t>
    </rPh>
    <rPh sb="2" eb="4">
      <t>センイ</t>
    </rPh>
    <rPh sb="5" eb="6">
      <t>タイ</t>
    </rPh>
    <rPh sb="20" eb="21">
      <t>ヒョウ</t>
    </rPh>
    <rPh sb="30" eb="31">
      <t>ヒョウ</t>
    </rPh>
    <rPh sb="33" eb="35">
      <t>モウラ</t>
    </rPh>
    <phoneticPr fontId="5"/>
  </si>
  <si>
    <t>画面遷移</t>
    <rPh sb="0" eb="2">
      <t>ガメン</t>
    </rPh>
    <rPh sb="2" eb="4">
      <t>センイ</t>
    </rPh>
    <phoneticPr fontId="5"/>
  </si>
  <si>
    <t>画面遷移のバリエーションがパターン表およびディシジョン表にて網羅されているか？</t>
    <rPh sb="0" eb="2">
      <t>ガメン</t>
    </rPh>
    <rPh sb="2" eb="4">
      <t>センイ</t>
    </rPh>
    <rPh sb="17" eb="18">
      <t>ヒョウ</t>
    </rPh>
    <rPh sb="27" eb="28">
      <t>ヒョウ</t>
    </rPh>
    <rPh sb="30" eb="32">
      <t>モウラ</t>
    </rPh>
    <phoneticPr fontId="5"/>
  </si>
  <si>
    <t>性能</t>
    <rPh sb="0" eb="2">
      <t>セイノウ</t>
    </rPh>
    <phoneticPr fontId="5"/>
  </si>
  <si>
    <t>性能・負荷・ロードテストを実施する際のバリエーションは適切か？</t>
    <rPh sb="0" eb="2">
      <t>セイノウ</t>
    </rPh>
    <rPh sb="3" eb="5">
      <t>フカ</t>
    </rPh>
    <rPh sb="13" eb="15">
      <t>ジッシ</t>
    </rPh>
    <rPh sb="17" eb="18">
      <t>サイ</t>
    </rPh>
    <rPh sb="27" eb="29">
      <t>テキセツ</t>
    </rPh>
    <phoneticPr fontId="5"/>
  </si>
  <si>
    <t>データ量</t>
    <rPh sb="3" eb="4">
      <t>リョウ</t>
    </rPh>
    <phoneticPr fontId="5"/>
  </si>
  <si>
    <t>性能・負荷・ロードテストを実施する際のデータ量は適切か？</t>
    <rPh sb="0" eb="2">
      <t>セイノウ</t>
    </rPh>
    <rPh sb="3" eb="5">
      <t>フカ</t>
    </rPh>
    <rPh sb="13" eb="15">
      <t>ジッシ</t>
    </rPh>
    <rPh sb="17" eb="18">
      <t>サイ</t>
    </rPh>
    <rPh sb="22" eb="23">
      <t>リョウ</t>
    </rPh>
    <rPh sb="24" eb="26">
      <t>テキセツ</t>
    </rPh>
    <phoneticPr fontId="5"/>
  </si>
  <si>
    <t>指標値</t>
    <rPh sb="0" eb="2">
      <t>シヒョウ</t>
    </rPh>
    <rPh sb="2" eb="3">
      <t>アタイ</t>
    </rPh>
    <phoneticPr fontId="5"/>
  </si>
  <si>
    <t>性能・負荷・ロードテストを実施する際の指標値は適切か？</t>
    <rPh sb="0" eb="2">
      <t>セイノウ</t>
    </rPh>
    <rPh sb="3" eb="5">
      <t>フカ</t>
    </rPh>
    <rPh sb="13" eb="15">
      <t>ジッシ</t>
    </rPh>
    <rPh sb="17" eb="18">
      <t>サイ</t>
    </rPh>
    <rPh sb="19" eb="21">
      <t>シヒョウ</t>
    </rPh>
    <rPh sb="21" eb="22">
      <t>アタイ</t>
    </rPh>
    <rPh sb="23" eb="25">
      <t>テキセツ</t>
    </rPh>
    <phoneticPr fontId="5"/>
  </si>
  <si>
    <t>〇</t>
  </si>
  <si>
    <t>正常終了</t>
    <rPh sb="0" eb="4">
      <t>セイジョウシュウリョウ</t>
    </rPh>
    <phoneticPr fontId="5"/>
  </si>
  <si>
    <t>異常終了</t>
    <rPh sb="0" eb="2">
      <t>イジョウ</t>
    </rPh>
    <rPh sb="2" eb="4">
      <t>シュウリョウ</t>
    </rPh>
    <phoneticPr fontId="5"/>
  </si>
  <si>
    <t>パターンID</t>
    <phoneticPr fontId="5"/>
  </si>
  <si>
    <t>パターン概要</t>
    <rPh sb="4" eb="6">
      <t>ガイヨウ</t>
    </rPh>
    <phoneticPr fontId="5"/>
  </si>
  <si>
    <t>補足</t>
    <rPh sb="0" eb="2">
      <t>ホソク</t>
    </rPh>
    <phoneticPr fontId="5"/>
  </si>
  <si>
    <t>テストケースID</t>
    <phoneticPr fontId="5"/>
  </si>
  <si>
    <t>PT001-001</t>
    <phoneticPr fontId="5"/>
  </si>
  <si>
    <t>正常終了</t>
    <rPh sb="0" eb="2">
      <t>セイジョウ</t>
    </rPh>
    <rPh sb="2" eb="4">
      <t>シュウリョウ</t>
    </rPh>
    <phoneticPr fontId="5"/>
  </si>
  <si>
    <t>〇</t>
    <phoneticPr fontId="5"/>
  </si>
  <si>
    <t>-</t>
    <phoneticPr fontId="5"/>
  </si>
  <si>
    <t>テストフェーズ</t>
    <phoneticPr fontId="5"/>
  </si>
  <si>
    <t>テストケース数</t>
    <rPh sb="6" eb="7">
      <t>スウ</t>
    </rPh>
    <phoneticPr fontId="5"/>
  </si>
  <si>
    <t>テスト項目数</t>
    <rPh sb="3" eb="5">
      <t>コウモク</t>
    </rPh>
    <rPh sb="5" eb="6">
      <t>スウ</t>
    </rPh>
    <phoneticPr fontId="5"/>
  </si>
  <si>
    <t>テストケース数_実績</t>
    <rPh sb="6" eb="7">
      <t>スウ</t>
    </rPh>
    <rPh sb="8" eb="10">
      <t>ジッセキ</t>
    </rPh>
    <phoneticPr fontId="5"/>
  </si>
  <si>
    <t>テスト項目数_実績</t>
    <rPh sb="3" eb="5">
      <t>コウモク</t>
    </rPh>
    <rPh sb="5" eb="6">
      <t>スウ</t>
    </rPh>
    <rPh sb="7" eb="9">
      <t>ジッセキ</t>
    </rPh>
    <phoneticPr fontId="5"/>
  </si>
  <si>
    <t>カバレッジ_C0</t>
    <phoneticPr fontId="5"/>
  </si>
  <si>
    <t>カバレッジ_C1</t>
    <phoneticPr fontId="5"/>
  </si>
  <si>
    <t>入力値</t>
    <rPh sb="0" eb="2">
      <t>ニュウリョク</t>
    </rPh>
    <rPh sb="2" eb="3">
      <t>アタイ</t>
    </rPh>
    <phoneticPr fontId="6"/>
  </si>
  <si>
    <t>期待値</t>
    <phoneticPr fontId="6"/>
  </si>
  <si>
    <t>実施状況</t>
    <phoneticPr fontId="6"/>
  </si>
  <si>
    <t>クロスチェック</t>
    <phoneticPr fontId="6"/>
  </si>
  <si>
    <t>EOL</t>
    <phoneticPr fontId="5"/>
  </si>
  <si>
    <t>No</t>
    <phoneticPr fontId="6"/>
  </si>
  <si>
    <t>テスト
ケース番号</t>
    <rPh sb="7" eb="9">
      <t>バンゴウ</t>
    </rPh>
    <phoneticPr fontId="5"/>
  </si>
  <si>
    <t>テストケース概要</t>
    <rPh sb="6" eb="8">
      <t>ガイヨウ</t>
    </rPh>
    <phoneticPr fontId="5"/>
  </si>
  <si>
    <t>テスト分類</t>
    <rPh sb="3" eb="5">
      <t>ブンルイ</t>
    </rPh>
    <phoneticPr fontId="6"/>
  </si>
  <si>
    <t>テスト
ケース
数</t>
  </si>
  <si>
    <t>開始日</t>
    <rPh sb="0" eb="2">
      <t>カイシ</t>
    </rPh>
    <rPh sb="2" eb="3">
      <t>ビ</t>
    </rPh>
    <phoneticPr fontId="6"/>
  </si>
  <si>
    <t>完了日</t>
    <rPh sb="0" eb="2">
      <t>カンリョウ</t>
    </rPh>
    <rPh sb="2" eb="3">
      <t>ビ</t>
    </rPh>
    <phoneticPr fontId="6"/>
  </si>
  <si>
    <t>項目
番号</t>
    <rPh sb="0" eb="2">
      <t>コウモク</t>
    </rPh>
    <rPh sb="3" eb="5">
      <t>バンゴウ</t>
    </rPh>
    <phoneticPr fontId="6"/>
  </si>
  <si>
    <t>確認
番号</t>
    <rPh sb="0" eb="2">
      <t>カクニン</t>
    </rPh>
    <rPh sb="3" eb="5">
      <t>バンゴウ</t>
    </rPh>
    <phoneticPr fontId="6"/>
  </si>
  <si>
    <t>修正対象</t>
    <rPh sb="0" eb="2">
      <t>シュウセイ</t>
    </rPh>
    <rPh sb="2" eb="4">
      <t>タイショウ</t>
    </rPh>
    <phoneticPr fontId="6"/>
  </si>
  <si>
    <t>確認項目概要</t>
    <rPh sb="0" eb="2">
      <t>カクニン</t>
    </rPh>
    <rPh sb="2" eb="4">
      <t>コウモク</t>
    </rPh>
    <rPh sb="4" eb="6">
      <t>ガイヨウ</t>
    </rPh>
    <phoneticPr fontId="6"/>
  </si>
  <si>
    <t>入力
確認</t>
    <rPh sb="0" eb="2">
      <t>ニュウリョク</t>
    </rPh>
    <rPh sb="3" eb="5">
      <t>カクニン</t>
    </rPh>
    <phoneticPr fontId="6"/>
  </si>
  <si>
    <t>実施
要否</t>
    <phoneticPr fontId="6"/>
  </si>
  <si>
    <t>理由</t>
    <phoneticPr fontId="6"/>
  </si>
  <si>
    <t>確認
項目
数</t>
    <rPh sb="0" eb="2">
      <t>カクニン</t>
    </rPh>
    <rPh sb="3" eb="5">
      <t>コウモク</t>
    </rPh>
    <rPh sb="6" eb="7">
      <t>スウ</t>
    </rPh>
    <phoneticPr fontId="5"/>
  </si>
  <si>
    <t>画面ID</t>
    <rPh sb="0" eb="2">
      <t>ガメン</t>
    </rPh>
    <phoneticPr fontId="6"/>
  </si>
  <si>
    <t>イベント</t>
    <phoneticPr fontId="6"/>
  </si>
  <si>
    <t>前提条件・操作</t>
    <rPh sb="0" eb="2">
      <t>ゼンテイ</t>
    </rPh>
    <rPh sb="2" eb="4">
      <t>ジョウケン</t>
    </rPh>
    <rPh sb="5" eb="7">
      <t>ソウサ</t>
    </rPh>
    <phoneticPr fontId="6"/>
  </si>
  <si>
    <t>ﾊﾟﾀｰﾝ表</t>
    <phoneticPr fontId="6"/>
  </si>
  <si>
    <t>ﾃﾞｨｼｼﾞｮﾝ
表</t>
    <rPh sb="9" eb="10">
      <t>ヒョウ</t>
    </rPh>
    <phoneticPr fontId="6"/>
  </si>
  <si>
    <t>確認機能
確認処理</t>
    <rPh sb="0" eb="2">
      <t>カクニン</t>
    </rPh>
    <rPh sb="2" eb="4">
      <t>キノウ</t>
    </rPh>
    <rPh sb="5" eb="7">
      <t>カクニン</t>
    </rPh>
    <rPh sb="7" eb="9">
      <t>ショリ</t>
    </rPh>
    <phoneticPr fontId="6"/>
  </si>
  <si>
    <t>確認内容</t>
    <rPh sb="0" eb="2">
      <t>カクニン</t>
    </rPh>
    <rPh sb="2" eb="4">
      <t>ナイヨウ</t>
    </rPh>
    <phoneticPr fontId="6"/>
  </si>
  <si>
    <t>別紙
確認項目
シート名</t>
    <rPh sb="0" eb="2">
      <t>ベッシ</t>
    </rPh>
    <rPh sb="3" eb="5">
      <t>カクニン</t>
    </rPh>
    <rPh sb="5" eb="7">
      <t>コウモク</t>
    </rPh>
    <rPh sb="11" eb="12">
      <t>メイ</t>
    </rPh>
    <phoneticPr fontId="6"/>
  </si>
  <si>
    <t>確認
項目数</t>
    <rPh sb="0" eb="2">
      <t>カクニン</t>
    </rPh>
    <rPh sb="3" eb="5">
      <t>コウモク</t>
    </rPh>
    <rPh sb="5" eb="6">
      <t>スウ</t>
    </rPh>
    <phoneticPr fontId="6"/>
  </si>
  <si>
    <t>実施日</t>
    <rPh sb="0" eb="2">
      <t>ジッシ</t>
    </rPh>
    <rPh sb="2" eb="3">
      <t>ビ</t>
    </rPh>
    <phoneticPr fontId="5"/>
  </si>
  <si>
    <t>実施者</t>
    <rPh sb="0" eb="2">
      <t>ジッシ</t>
    </rPh>
    <rPh sb="2" eb="3">
      <t>シャ</t>
    </rPh>
    <phoneticPr fontId="5"/>
  </si>
  <si>
    <t>NG解消
確認日</t>
    <rPh sb="2" eb="4">
      <t>カイショウ</t>
    </rPh>
    <rPh sb="5" eb="7">
      <t>カクニン</t>
    </rPh>
    <rPh sb="7" eb="8">
      <t>ビ</t>
    </rPh>
    <phoneticPr fontId="5"/>
  </si>
  <si>
    <t>再確認
実施者</t>
    <rPh sb="0" eb="3">
      <t>サイカクニン</t>
    </rPh>
    <rPh sb="4" eb="6">
      <t>ジッシ</t>
    </rPh>
    <rPh sb="6" eb="7">
      <t>シャ</t>
    </rPh>
    <phoneticPr fontId="5"/>
  </si>
  <si>
    <t>結果</t>
    <rPh sb="0" eb="2">
      <t>ケッカ</t>
    </rPh>
    <phoneticPr fontId="5"/>
  </si>
  <si>
    <t>完了日</t>
    <rPh sb="0" eb="3">
      <t>カンリョウビ</t>
    </rPh>
    <phoneticPr fontId="5"/>
  </si>
  <si>
    <t>故障管理No</t>
    <rPh sb="0" eb="2">
      <t>コショウ</t>
    </rPh>
    <rPh sb="2" eb="4">
      <t>カンリ</t>
    </rPh>
    <phoneticPr fontId="5"/>
  </si>
  <si>
    <t>故障管理No
完了日</t>
    <rPh sb="0" eb="2">
      <t>コショウ</t>
    </rPh>
    <rPh sb="2" eb="4">
      <t>カンリ</t>
    </rPh>
    <rPh sb="7" eb="10">
      <t>カンリョウビ</t>
    </rPh>
    <phoneticPr fontId="5"/>
  </si>
  <si>
    <t>備考</t>
    <rPh sb="0" eb="2">
      <t>ビコウ</t>
    </rPh>
    <phoneticPr fontId="5"/>
  </si>
  <si>
    <t>プロセス/機能/クラス/メソッド：</t>
    <rPh sb="5" eb="7">
      <t>キノウ</t>
    </rPh>
    <phoneticPr fontId="6"/>
  </si>
  <si>
    <t>ST-001</t>
    <phoneticPr fontId="6"/>
  </si>
  <si>
    <t>正常確認（旧環境）</t>
    <rPh sb="0" eb="4">
      <t>セイジョウカクニン</t>
    </rPh>
    <rPh sb="5" eb="8">
      <t>キュウカンキョウ</t>
    </rPh>
    <phoneticPr fontId="6"/>
  </si>
  <si>
    <t xml:space="preserve">Ne-OpS名の確認
</t>
    <rPh sb="6" eb="7">
      <t>メイ</t>
    </rPh>
    <rPh sb="8" eb="10">
      <t>カクニン</t>
    </rPh>
    <phoneticPr fontId="6"/>
  </si>
  <si>
    <t>NWZC7600</t>
  </si>
  <si>
    <t>ユニットパラメータ登録</t>
    <rPh sb="9" eb="11">
      <t>トウロク</t>
    </rPh>
    <phoneticPr fontId="6"/>
  </si>
  <si>
    <t xml:space="preserve">【前提】
・Ne-OpS名が作成されている対象データを取得する
対象データ取得シート参照
【操作】
・取得データのビル、フロア、群、架、物品コードでユニット検索
</t>
  </si>
  <si>
    <t xml:space="preserve">・Ne-OpS名が生成されていること
・物品コード：5L530065のユニットが割付られていること
</t>
  </si>
  <si>
    <t>藤田健人</t>
  </si>
  <si>
    <t>OK</t>
  </si>
  <si>
    <t>Ne-OpS名整合性チェックバッチ処理１回目</t>
    <rPh sb="6" eb="7">
      <t>メイ</t>
    </rPh>
    <rPh sb="7" eb="10">
      <t>セイゴウセイ</t>
    </rPh>
    <rPh sb="17" eb="19">
      <t>ショリ</t>
    </rPh>
    <rPh sb="20" eb="22">
      <t>カイメ</t>
    </rPh>
    <rPh sb="21" eb="22">
      <t>メ</t>
    </rPh>
    <phoneticPr fontId="6"/>
  </si>
  <si>
    <t>確認</t>
    <rPh sb="0" eb="2">
      <t>カクニン</t>
    </rPh>
    <phoneticPr fontId="5"/>
  </si>
  <si>
    <t>・Ne-OpS名整合性チェックバッチ実行
バッチ実行手順シート参照
・JOBLOGにて正常終了を確認
JOBLOG.log： /home/l1db/log/bat
・all.logにてエラー内容が出ていないこと</t>
  </si>
  <si>
    <t>・Ne-OpS名エラーログにレコードが登録されていないこと
・バッチ正常終了のログ出力がされていること</t>
  </si>
  <si>
    <t>コマ名を変更する</t>
    <rPh sb="2" eb="3">
      <t>メイ</t>
    </rPh>
    <rPh sb="4" eb="6">
      <t>ヘンコウ</t>
    </rPh>
    <phoneticPr fontId="6"/>
  </si>
  <si>
    <t>・コマ名をNGに変更する
確認用シートのコマ名変更データパッチを実行</t>
  </si>
  <si>
    <t>コマ名がNGに変更されていること</t>
  </si>
  <si>
    <t>Ne-OpS名整合性チェックバッチ処理２回目</t>
    <rPh sb="6" eb="7">
      <t>メイ</t>
    </rPh>
    <rPh sb="7" eb="10">
      <t>セイゴウセイ</t>
    </rPh>
    <rPh sb="17" eb="19">
      <t>ショリ</t>
    </rPh>
    <rPh sb="20" eb="22">
      <t>カイメ</t>
    </rPh>
    <phoneticPr fontId="6"/>
  </si>
  <si>
    <t>・Ne-OpS名整合性チェックバッチ実行
・JOBLOGにて警告を確認
JOBLOG.log： /home/l1db/log/bat
・TD_NE_OPS_CHECK_ELOG（Ne-OpS名チェックエラーログ）のレコードを取得
・all.logにてエラー内容が出ていること</t>
  </si>
  <si>
    <t>・Ne-OpS名エラーログにレコードが登録されていること
・整合性チェックエラーの機器情報がログ出力されていること
・バッチエラー（警告）のログが出力されていること</t>
  </si>
  <si>
    <t>Ne-OpS名整合性チェックバッチ処理３回目</t>
    <rPh sb="6" eb="7">
      <t>メイ</t>
    </rPh>
    <rPh sb="7" eb="10">
      <t>セイゴウセイ</t>
    </rPh>
    <rPh sb="17" eb="19">
      <t>ショリ</t>
    </rPh>
    <rPh sb="20" eb="22">
      <t>カイメ</t>
    </rPh>
    <phoneticPr fontId="6"/>
  </si>
  <si>
    <t>・Ne-OpS名整合性チェックバッチ実行
・JOBLOGにて正常終了を確認
JOBLOG.log： /home/l1db/log/bat</t>
  </si>
  <si>
    <t>・Ne-OpS名エラーログが更新されていないこと
・バッチ正常終了のログが出力されていること</t>
  </si>
  <si>
    <t>コマ名修正</t>
    <rPh sb="2" eb="3">
      <t>メイ</t>
    </rPh>
    <rPh sb="3" eb="5">
      <t>シュウセイ</t>
    </rPh>
    <phoneticPr fontId="6"/>
  </si>
  <si>
    <t>・コマ名をD02に修正する
・確認用シートのコマ名修正データパッチを実行</t>
  </si>
  <si>
    <t>コマ名がD02に変更されていること</t>
  </si>
  <si>
    <t>Ne-OpS名整合性チェックバッチ処理４回目</t>
    <rPh sb="6" eb="7">
      <t>メイ</t>
    </rPh>
    <rPh sb="7" eb="10">
      <t>セイゴウセイ</t>
    </rPh>
    <rPh sb="17" eb="19">
      <t>ショリ</t>
    </rPh>
    <rPh sb="20" eb="22">
      <t>カイメ</t>
    </rPh>
    <phoneticPr fontId="6"/>
  </si>
  <si>
    <t>・Ne-OpS名整合性チェックバッチ実行
・JOBLOGにて正常終了を確認
JOBLOG.log： /home/l1db/log/bat
・TD_NE_OPS_CHECK_ELOG（Ne-OpS名チェックエラーログ）のレコードを取得
・all.logにてエラー内容が出ていないこと</t>
  </si>
  <si>
    <t>・Ne-OpS名エラーログの状態区分が1（解消）に更新されていること
・バッチ正常終了のログが出力されていること</t>
  </si>
  <si>
    <t>ST-002</t>
    <phoneticPr fontId="6"/>
  </si>
  <si>
    <t>正常確認（新環境）</t>
    <rPh sb="0" eb="4">
      <t>セイジョウカクニン</t>
    </rPh>
    <rPh sb="5" eb="6">
      <t>シン</t>
    </rPh>
    <rPh sb="6" eb="8">
      <t>カンキョウ</t>
    </rPh>
    <phoneticPr fontId="6"/>
  </si>
  <si>
    <t xml:space="preserve">【前提】
・Ne-OpS名が作成されている対象データを取得する
対象データ取得シート参照
【操作】
・取得データのビル、フロア、群、架、物品コードでユニット検索
</t>
    <rPh sb="1" eb="3">
      <t>ゼンテイ</t>
    </rPh>
    <rPh sb="12" eb="13">
      <t>メイ</t>
    </rPh>
    <rPh sb="14" eb="16">
      <t>サクセイ</t>
    </rPh>
    <rPh sb="21" eb="23">
      <t>タイショウ</t>
    </rPh>
    <rPh sb="27" eb="29">
      <t>シュトク</t>
    </rPh>
    <rPh sb="32" eb="34">
      <t>タイショウ</t>
    </rPh>
    <rPh sb="37" eb="39">
      <t>シュトク</t>
    </rPh>
    <rPh sb="42" eb="44">
      <t>サンショウ</t>
    </rPh>
    <rPh sb="46" eb="48">
      <t>ソウサ</t>
    </rPh>
    <rPh sb="51" eb="53">
      <t>シュトク</t>
    </rPh>
    <rPh sb="64" eb="65">
      <t>グン</t>
    </rPh>
    <rPh sb="66" eb="67">
      <t>カ</t>
    </rPh>
    <rPh sb="68" eb="70">
      <t>ブッピン</t>
    </rPh>
    <phoneticPr fontId="6"/>
  </si>
  <si>
    <t xml:space="preserve">・Ne-OpS名が生成されていること
・物品コード：5L530065のユニットが割付られていること
</t>
    <phoneticPr fontId="6"/>
  </si>
  <si>
    <t>・Ne-OpS名整合性チェックバッチ実行
バッチ実行手順シート参照
・JOBLOGにて正常終了を確認
JOBLOG.log： /home/l1db/log/bat
・all.logにてエラー内容が出ていないこと</t>
    <rPh sb="7" eb="8">
      <t>メイ</t>
    </rPh>
    <rPh sb="8" eb="11">
      <t>セイゴウセイ</t>
    </rPh>
    <rPh sb="18" eb="20">
      <t>ジッコウ</t>
    </rPh>
    <rPh sb="24" eb="26">
      <t>ジッコウ</t>
    </rPh>
    <rPh sb="26" eb="28">
      <t>テジュン</t>
    </rPh>
    <rPh sb="31" eb="33">
      <t>サンショウ</t>
    </rPh>
    <phoneticPr fontId="6"/>
  </si>
  <si>
    <t>・Ne-OpS名エラーログにレコードが登録されていないこと
・バッチ正常終了のログ出力がされていること</t>
    <rPh sb="19" eb="21">
      <t>トウロク</t>
    </rPh>
    <rPh sb="34" eb="36">
      <t>セイジョウ</t>
    </rPh>
    <rPh sb="36" eb="38">
      <t>シュウリョウ</t>
    </rPh>
    <rPh sb="41" eb="43">
      <t>シュツリョク</t>
    </rPh>
    <phoneticPr fontId="6"/>
  </si>
  <si>
    <t>・コマ名をNGに変更する
確認用シートのコマ名変更データパッチを実行</t>
    <rPh sb="3" eb="4">
      <t>メイ</t>
    </rPh>
    <rPh sb="8" eb="10">
      <t>ヘンコウ</t>
    </rPh>
    <rPh sb="13" eb="16">
      <t>カクニンヨウ</t>
    </rPh>
    <rPh sb="32" eb="34">
      <t>ジッコウ</t>
    </rPh>
    <phoneticPr fontId="6"/>
  </si>
  <si>
    <t>コマ名がNGに変更されていること</t>
    <rPh sb="2" eb="3">
      <t>メイ</t>
    </rPh>
    <rPh sb="7" eb="9">
      <t>ヘンコウ</t>
    </rPh>
    <phoneticPr fontId="6"/>
  </si>
  <si>
    <t>・Ne-OpS名整合性チェックバッチ実行
・JOBLOGにて警告を確認
JOBLOG.log： /home/l1db/log/bat
・TD_NE_OPS_CHECK_ELOG（Ne-OpS名チェックエラーログ）のレコードを取得
・all.logにてエラー内容が出ていること</t>
    <rPh sb="7" eb="8">
      <t>メイ</t>
    </rPh>
    <rPh sb="8" eb="11">
      <t>セイゴウセイ</t>
    </rPh>
    <rPh sb="18" eb="20">
      <t>ジッコウ</t>
    </rPh>
    <rPh sb="30" eb="32">
      <t>ケイコク</t>
    </rPh>
    <rPh sb="33" eb="35">
      <t>カクニン</t>
    </rPh>
    <phoneticPr fontId="6"/>
  </si>
  <si>
    <t>・Ne-OpS名エラーログにレコードが登録されていること
・整合性チェックエラーの機器情報がログ出力されていること
・バッチエラー（警告）のログが出力されていること</t>
    <rPh sb="19" eb="21">
      <t>トウロク</t>
    </rPh>
    <rPh sb="30" eb="33">
      <t>セイゴウセイ</t>
    </rPh>
    <rPh sb="41" eb="43">
      <t>キキ</t>
    </rPh>
    <rPh sb="43" eb="45">
      <t>ジョウホウ</t>
    </rPh>
    <rPh sb="48" eb="50">
      <t>シュツリョク</t>
    </rPh>
    <rPh sb="66" eb="68">
      <t>ケイコク</t>
    </rPh>
    <rPh sb="73" eb="75">
      <t>シュツリョク</t>
    </rPh>
    <phoneticPr fontId="6"/>
  </si>
  <si>
    <t>・Ne-OpS名整合性チェックバッチ実行
・JOBLOGにて正常終了を確認
JOBLOG.log： /home/l1db/log/bat</t>
    <rPh sb="7" eb="8">
      <t>メイ</t>
    </rPh>
    <rPh sb="8" eb="11">
      <t>セイゴウセイ</t>
    </rPh>
    <rPh sb="18" eb="20">
      <t>ジッコウ</t>
    </rPh>
    <rPh sb="30" eb="32">
      <t>セイジョウ</t>
    </rPh>
    <rPh sb="32" eb="34">
      <t>シュウリョウ</t>
    </rPh>
    <rPh sb="35" eb="37">
      <t>カクニン</t>
    </rPh>
    <phoneticPr fontId="6"/>
  </si>
  <si>
    <t>・Ne-OpS名エラーログが更新されていないこと
・バッチ正常終了のログが出力されていること</t>
    <rPh sb="14" eb="16">
      <t>コウシン</t>
    </rPh>
    <rPh sb="29" eb="31">
      <t>セイジョウ</t>
    </rPh>
    <rPh sb="31" eb="33">
      <t>シュウリョウ</t>
    </rPh>
    <rPh sb="37" eb="39">
      <t>シュツリョク</t>
    </rPh>
    <phoneticPr fontId="6"/>
  </si>
  <si>
    <t>・コマ名をD02に修正する
・確認用シートのコマ名修正データパッチを実行</t>
    <rPh sb="3" eb="4">
      <t>メイ</t>
    </rPh>
    <rPh sb="9" eb="11">
      <t>シュウセイ</t>
    </rPh>
    <rPh sb="15" eb="18">
      <t>カクニンヨウ</t>
    </rPh>
    <rPh sb="34" eb="36">
      <t>ジッコウ</t>
    </rPh>
    <phoneticPr fontId="6"/>
  </si>
  <si>
    <t>コマ名がD02に変更されていること</t>
    <rPh sb="2" eb="3">
      <t>メイ</t>
    </rPh>
    <rPh sb="8" eb="10">
      <t>ヘンコウ</t>
    </rPh>
    <phoneticPr fontId="6"/>
  </si>
  <si>
    <t>・Ne-OpS名整合性チェックバッチ実行
・JOBLOGにて正常終了を確認
JOBLOG.log： /home/l1db/log/bat
・TD_NE_OPS_CHECK_ELOG（Ne-OpS名チェックエラーログ）のレコードを取得
・all.logにてエラー内容が出ていないこと</t>
    <rPh sb="7" eb="8">
      <t>メイ</t>
    </rPh>
    <rPh sb="8" eb="11">
      <t>セイゴウセイ</t>
    </rPh>
    <rPh sb="18" eb="20">
      <t>ジッコウ</t>
    </rPh>
    <rPh sb="30" eb="32">
      <t>セイジョウ</t>
    </rPh>
    <rPh sb="32" eb="34">
      <t>シュウリョウ</t>
    </rPh>
    <rPh sb="35" eb="37">
      <t>カクニン</t>
    </rPh>
    <rPh sb="114" eb="116">
      <t>シュトク</t>
    </rPh>
    <phoneticPr fontId="6"/>
  </si>
  <si>
    <t>・Ne-OpS名エラーログの状態区分が1（解消）に更新されていること
・バッチ正常終了のログが出力されていること</t>
    <rPh sb="14" eb="16">
      <t>ジョウタイ</t>
    </rPh>
    <rPh sb="16" eb="18">
      <t>クブン</t>
    </rPh>
    <rPh sb="21" eb="23">
      <t>カイショウ</t>
    </rPh>
    <rPh sb="25" eb="27">
      <t>コウシン</t>
    </rPh>
    <rPh sb="39" eb="41">
      <t>セイジョウ</t>
    </rPh>
    <rPh sb="41" eb="43">
      <t>シュウリョウ</t>
    </rPh>
    <rPh sb="47" eb="49">
      <t>シュツリョク</t>
    </rPh>
    <phoneticPr fontId="6"/>
  </si>
  <si>
    <t>ST-003</t>
  </si>
  <si>
    <t>性能試験</t>
    <rPh sb="0" eb="4">
      <t>セイノウシケン</t>
    </rPh>
    <phoneticPr fontId="6"/>
  </si>
  <si>
    <t>旧環境と新環境で大きな差分がないこと</t>
    <rPh sb="0" eb="3">
      <t>キュウカンキョウ</t>
    </rPh>
    <rPh sb="4" eb="7">
      <t>シンカンキョウ</t>
    </rPh>
    <rPh sb="8" eb="9">
      <t>オオ</t>
    </rPh>
    <rPh sb="11" eb="13">
      <t>サブン</t>
    </rPh>
    <phoneticPr fontId="6"/>
  </si>
  <si>
    <t>No1（移行前環境）とNo2（移行後環境）の実施時のログを比較する</t>
    <rPh sb="4" eb="7">
      <t>イコウマエ</t>
    </rPh>
    <rPh sb="7" eb="9">
      <t>カンキョウ</t>
    </rPh>
    <rPh sb="15" eb="18">
      <t>イコウゴ</t>
    </rPh>
    <rPh sb="18" eb="20">
      <t>カンキョウ</t>
    </rPh>
    <rPh sb="22" eb="24">
      <t>ジッシ</t>
    </rPh>
    <rPh sb="24" eb="25">
      <t>ジ</t>
    </rPh>
    <rPh sb="29" eb="31">
      <t>ヒカク</t>
    </rPh>
    <phoneticPr fontId="5"/>
  </si>
  <si>
    <t>JOBLOG、All.logで大幅な差分がないこと
（処理時間が新環境の方が早くなっている場合は問題なし。
　遅くなっている場合は原因分析、再実行した上での妥当な差分であれば問題なし）</t>
    <rPh sb="15" eb="17">
      <t>オオハバ</t>
    </rPh>
    <rPh sb="18" eb="20">
      <t>サブン</t>
    </rPh>
    <rPh sb="27" eb="31">
      <t>ショリジカン</t>
    </rPh>
    <rPh sb="32" eb="35">
      <t>シンカンキョウ</t>
    </rPh>
    <rPh sb="36" eb="37">
      <t>ホウ</t>
    </rPh>
    <rPh sb="38" eb="39">
      <t>ハヤ</t>
    </rPh>
    <rPh sb="45" eb="47">
      <t>バアイ</t>
    </rPh>
    <rPh sb="48" eb="50">
      <t>モンダイ</t>
    </rPh>
    <rPh sb="55" eb="56">
      <t>オソ</t>
    </rPh>
    <rPh sb="62" eb="64">
      <t>バアイ</t>
    </rPh>
    <rPh sb="65" eb="67">
      <t>ゲンイン</t>
    </rPh>
    <rPh sb="67" eb="69">
      <t>ブンセキ</t>
    </rPh>
    <rPh sb="70" eb="73">
      <t>サイジッコウ</t>
    </rPh>
    <rPh sb="75" eb="76">
      <t>ウエ</t>
    </rPh>
    <rPh sb="78" eb="80">
      <t>ダトウ</t>
    </rPh>
    <rPh sb="81" eb="83">
      <t>サブン</t>
    </rPh>
    <rPh sb="87" eb="89">
      <t>モンダイ</t>
    </rPh>
    <phoneticPr fontId="5"/>
  </si>
  <si>
    <t>試験対象データ取得方法</t>
    <rPh sb="0" eb="4">
      <t>シケンタイショウ</t>
    </rPh>
    <rPh sb="7" eb="9">
      <t>シュトク</t>
    </rPh>
    <rPh sb="9" eb="11">
      <t>ホウホウ</t>
    </rPh>
    <phoneticPr fontId="5"/>
  </si>
  <si>
    <t>①TC_NE_OPS_CHECK_KNR（Ne-OpS名チェック管理）登録内容取得</t>
    <rPh sb="35" eb="37">
      <t>トウロク</t>
    </rPh>
    <rPh sb="37" eb="39">
      <t>ナイヨウ</t>
    </rPh>
    <rPh sb="39" eb="41">
      <t>シュトク</t>
    </rPh>
    <phoneticPr fontId="5"/>
  </si>
  <si>
    <t>select * from TC_NE_OPS_CHECK_KNR</t>
  </si>
  <si>
    <t>BPN_CD</t>
  </si>
  <si>
    <t>MKR_CD</t>
  </si>
  <si>
    <t>BPN_CD_SUB_NO</t>
  </si>
  <si>
    <t>SYY_ITI_DAN_NO</t>
  </si>
  <si>
    <t>SYY_ITI_RET_NO</t>
  </si>
  <si>
    <t>MK_DDTI</t>
  </si>
  <si>
    <t>FIN_UDTE_DDTI</t>
  </si>
  <si>
    <t>UDTE_CONT</t>
  </si>
  <si>
    <t>FIN_UDTE_USER_CD</t>
  </si>
  <si>
    <t>5L530011</t>
  </si>
  <si>
    <t>402</t>
  </si>
  <si>
    <t>2021A</t>
  </si>
  <si>
    <t>5L530001</t>
  </si>
  <si>
    <t>5L530003</t>
  </si>
  <si>
    <t>5L530065</t>
  </si>
  <si>
    <t>5L530071</t>
  </si>
  <si>
    <t>L1SMK-830</t>
  </si>
  <si>
    <t>②上記取得結果から１件選び（どれでもよい）、TD_SOTI_SYY_KIKIでレコードを検索する</t>
    <rPh sb="1" eb="3">
      <t>ジョウキ</t>
    </rPh>
    <rPh sb="3" eb="7">
      <t>シュトクケッカ</t>
    </rPh>
    <rPh sb="10" eb="11">
      <t>ケン</t>
    </rPh>
    <rPh sb="11" eb="12">
      <t>エラ</t>
    </rPh>
    <rPh sb="44" eb="46">
      <t>ケンサク</t>
    </rPh>
    <phoneticPr fontId="5"/>
  </si>
  <si>
    <t>（今回は１３行目のレコードを使用）</t>
    <rPh sb="1" eb="3">
      <t>コンカイ</t>
    </rPh>
    <rPh sb="6" eb="8">
      <t>ギョウメ</t>
    </rPh>
    <rPh sb="14" eb="16">
      <t>シヨウ</t>
    </rPh>
    <phoneticPr fontId="5"/>
  </si>
  <si>
    <t>select * from TD_SOTI_SYY_KIKI where BPN_CD = '5L530065' and MKR_CD = '402' and BPN_CD_SUB_NO = '1' and SYY_ITI_DAN_NO = '10' and SYY_ITI_RET_NO = '999'</t>
  </si>
  <si>
    <t>KIKI_ID</t>
  </si>
  <si>
    <t>UPPR_KIKI_ID</t>
  </si>
  <si>
    <t>BLDG_CD</t>
  </si>
  <si>
    <t>FLOR_CD</t>
  </si>
  <si>
    <t>GN_CD</t>
  </si>
  <si>
    <t>GA_NO</t>
  </si>
  <si>
    <t>SYY_ITI_URA_KBN</t>
  </si>
  <si>
    <t>SYY_ITI_MSAI_NO</t>
  </si>
  <si>
    <t>SYY_ITI_NAM</t>
  </si>
  <si>
    <t>SYY_ITI_DAN_RZKSU</t>
  </si>
  <si>
    <t>SYY_ITI_RET_RZKSU</t>
  </si>
  <si>
    <t>YHIN_KBN</t>
  </si>
  <si>
    <t>SEZO_YYMM</t>
  </si>
  <si>
    <t>RIYO_KBN</t>
  </si>
  <si>
    <t>SSN_KBN</t>
  </si>
  <si>
    <t>KMKM_SBAY_KBN</t>
  </si>
  <si>
    <t>SOTI_STTS_KBN</t>
  </si>
  <si>
    <t>CLS_SYRI_KBN</t>
  </si>
  <si>
    <t>KM_FLG</t>
  </si>
  <si>
    <t>OYA_KIKI_ID</t>
  </si>
  <si>
    <t>KOJI_PLAN_NO</t>
  </si>
  <si>
    <t>DNGN_SBT1</t>
  </si>
  <si>
    <t>DNGN_SBT2</t>
  </si>
  <si>
    <t>DNGN_SBT3</t>
  </si>
  <si>
    <t>MAX_DNRY1</t>
  </si>
  <si>
    <t>MAX_DNRY2</t>
  </si>
  <si>
    <t>MAX_DNRY3</t>
  </si>
  <si>
    <t>KYKU_DNGN_SBT</t>
  </si>
  <si>
    <t>KYYO_DNRY</t>
  </si>
  <si>
    <t>UNT_FITAS_KBN</t>
  </si>
  <si>
    <t>UNT_SOSA_NO</t>
  </si>
  <si>
    <t>PNL_TNS_ITI</t>
  </si>
  <si>
    <t>PNL_SEC_CD</t>
  </si>
  <si>
    <t>YTO</t>
  </si>
  <si>
    <t>IP_ADDR</t>
  </si>
  <si>
    <t>TID</t>
  </si>
  <si>
    <t>NE_OPS_NAME</t>
    <phoneticPr fontId="5"/>
  </si>
  <si>
    <t>SOTI_ATT1</t>
  </si>
  <si>
    <t>SOTI_ATT2</t>
  </si>
  <si>
    <t>SOTI_ATT3</t>
  </si>
  <si>
    <t>SOTI_ATT4</t>
  </si>
  <si>
    <t>SOTI_ATT5</t>
  </si>
  <si>
    <t>IP_ADDR2</t>
  </si>
  <si>
    <t>SUBNET_ADDR</t>
  </si>
  <si>
    <t>GW_ADDR</t>
  </si>
  <si>
    <t>BPN_YTO</t>
  </si>
  <si>
    <t>JGSY_KBN</t>
  </si>
  <si>
    <t>AREAMN1</t>
  </si>
  <si>
    <t>AREAMN2</t>
  </si>
  <si>
    <t>0728629242</t>
  </si>
  <si>
    <t xml:space="preserve">0         </t>
  </si>
  <si>
    <t>1310611001</t>
  </si>
  <si>
    <t>007</t>
  </si>
  <si>
    <t xml:space="preserve">N       </t>
  </si>
  <si>
    <t>0</t>
  </si>
  <si>
    <t>TEST</t>
  </si>
  <si>
    <t>« NULL »</t>
  </si>
  <si>
    <t>7</t>
  </si>
  <si>
    <t>01</t>
  </si>
  <si>
    <t>10</t>
  </si>
  <si>
    <t>4</t>
  </si>
  <si>
    <t>1</t>
  </si>
  <si>
    <t xml:space="preserve"> </t>
  </si>
  <si>
    <t>DevA021</t>
  </si>
  <si>
    <t>sirahige007E025002SW10</t>
  </si>
  <si>
    <t>02</t>
  </si>
  <si>
    <t>0728646960</t>
    <phoneticPr fontId="5"/>
  </si>
  <si>
    <t>4120100301</t>
  </si>
  <si>
    <t>002</t>
  </si>
  <si>
    <t>CDDB0100</t>
  </si>
  <si>
    <t>takagise002D020013SW10</t>
  </si>
  <si>
    <t>0728624559</t>
  </si>
  <si>
    <t>0220110501</t>
  </si>
  <si>
    <t>001</t>
  </si>
  <si>
    <t>U32</t>
  </si>
  <si>
    <t>6</t>
  </si>
  <si>
    <t>autoTest</t>
  </si>
  <si>
    <t>aomori2001TES9011SW10</t>
  </si>
  <si>
    <t>0728625577</t>
  </si>
  <si>
    <t>TEST01</t>
  </si>
  <si>
    <t>DevA053</t>
  </si>
  <si>
    <t>sirahige007E025001SW10</t>
  </si>
  <si>
    <t>0728626358</t>
  </si>
  <si>
    <t>1410300101</t>
  </si>
  <si>
    <t>006</t>
  </si>
  <si>
    <t>12</t>
  </si>
  <si>
    <t>yokonisi006J095001SW10</t>
  </si>
  <si>
    <t>③上記②の取得結果から１件選び、TD_NE_OPS_CHECK_ELOG（Ne-OpS名チェックエラーログ）で検索結果が0件になることを確認する</t>
    <rPh sb="1" eb="3">
      <t>ジョウキ</t>
    </rPh>
    <rPh sb="5" eb="7">
      <t>シュトク</t>
    </rPh>
    <rPh sb="7" eb="9">
      <t>ケッカ</t>
    </rPh>
    <rPh sb="12" eb="13">
      <t>ケン</t>
    </rPh>
    <rPh sb="13" eb="14">
      <t>エラ</t>
    </rPh>
    <rPh sb="55" eb="59">
      <t>ケンサクケッカ</t>
    </rPh>
    <rPh sb="61" eb="62">
      <t>ケン</t>
    </rPh>
    <rPh sb="68" eb="70">
      <t>カクニン</t>
    </rPh>
    <phoneticPr fontId="5"/>
  </si>
  <si>
    <t>（今回は３０行目のレコードを使用）</t>
    <rPh sb="1" eb="3">
      <t>コンカイ</t>
    </rPh>
    <rPh sb="6" eb="7">
      <t>ギョウ</t>
    </rPh>
    <rPh sb="7" eb="8">
      <t>メ</t>
    </rPh>
    <rPh sb="14" eb="16">
      <t>シヨウ</t>
    </rPh>
    <phoneticPr fontId="5"/>
  </si>
  <si>
    <t>select * from td_ne_ops_check_elog where KIKI_ID = '0728646960';</t>
  </si>
  <si>
    <t>④上記②で選択したレコードのビル、フロア、群、架、ユニット物品コードを、確認用シートのD3～D7に記載する</t>
    <rPh sb="1" eb="3">
      <t>ジョウキ</t>
    </rPh>
    <rPh sb="5" eb="7">
      <t>センタク</t>
    </rPh>
    <rPh sb="21" eb="22">
      <t>グン</t>
    </rPh>
    <rPh sb="23" eb="24">
      <t>カ</t>
    </rPh>
    <rPh sb="29" eb="31">
      <t>ブッピン</t>
    </rPh>
    <rPh sb="36" eb="38">
      <t>カクニン</t>
    </rPh>
    <rPh sb="38" eb="39">
      <t>ヨウ</t>
    </rPh>
    <rPh sb="49" eb="51">
      <t>キサイ</t>
    </rPh>
    <phoneticPr fontId="5"/>
  </si>
  <si>
    <t>0．事前準備</t>
    <rPh sb="2" eb="4">
      <t>ジゼン</t>
    </rPh>
    <rPh sb="4" eb="6">
      <t>ジュンビ</t>
    </rPh>
    <phoneticPr fontId="5"/>
  </si>
  <si>
    <t>①</t>
    <phoneticPr fontId="5"/>
  </si>
  <si>
    <t>A5M2で習熟L1DBに接続</t>
    <rPh sb="5" eb="7">
      <t>シュウジュク</t>
    </rPh>
    <rPh sb="12" eb="14">
      <t>セツゾク</t>
    </rPh>
    <phoneticPr fontId="5"/>
  </si>
  <si>
    <t>②</t>
    <phoneticPr fontId="5"/>
  </si>
  <si>
    <t>select * FROM TD_KOMA_MNG;</t>
  </si>
  <si>
    <t>⇒</t>
    <phoneticPr fontId="5"/>
  </si>
  <si>
    <t>出力された結果を別途保存しておく</t>
    <rPh sb="0" eb="2">
      <t>シュツリョク</t>
    </rPh>
    <rPh sb="5" eb="7">
      <t>ケッカ</t>
    </rPh>
    <rPh sb="8" eb="10">
      <t>ベット</t>
    </rPh>
    <rPh sb="10" eb="12">
      <t>ホゾン</t>
    </rPh>
    <phoneticPr fontId="5"/>
  </si>
  <si>
    <t>③</t>
    <phoneticPr fontId="5"/>
  </si>
  <si>
    <t>select COUNT(*) FROM TD_KOMA_MNG;</t>
  </si>
  <si>
    <t>※②③が存在しない場合、バッチを実行しても処理対象が存在しない可能性あり</t>
    <rPh sb="4" eb="6">
      <t>ソンザイ</t>
    </rPh>
    <rPh sb="9" eb="11">
      <t>バアイ</t>
    </rPh>
    <rPh sb="16" eb="18">
      <t>ジッコウ</t>
    </rPh>
    <rPh sb="21" eb="25">
      <t>ショリタイショウ</t>
    </rPh>
    <rPh sb="26" eb="28">
      <t>ソンザイ</t>
    </rPh>
    <rPh sb="31" eb="34">
      <t>カノウセイ</t>
    </rPh>
    <phoneticPr fontId="5"/>
  </si>
  <si>
    <t>④</t>
    <phoneticPr fontId="5"/>
  </si>
  <si>
    <t>TeraTermでl1ds-comtrn-l1batch-bat01に接続</t>
    <rPh sb="35" eb="37">
      <t>セツゾク</t>
    </rPh>
    <phoneticPr fontId="5"/>
  </si>
  <si>
    <t>RAGW</t>
  </si>
  <si>
    <t>10.39.37.133</t>
  </si>
  <si>
    <t>踏み台</t>
    <rPh sb="0" eb="1">
      <t>フ</t>
    </rPh>
    <rPh sb="2" eb="3">
      <t>ダイ</t>
    </rPh>
    <phoneticPr fontId="5"/>
  </si>
  <si>
    <t>10.223.153.201</t>
    <phoneticPr fontId="5"/>
  </si>
  <si>
    <t>l1ds-comtrn-l1batch-bat02</t>
  </si>
  <si>
    <t>IPアドレス</t>
    <phoneticPr fontId="5"/>
  </si>
  <si>
    <t>10.223.153.200</t>
    <phoneticPr fontId="5"/>
  </si>
  <si>
    <t>l1ds-comtrn-l1batch-bat01</t>
    <phoneticPr fontId="5"/>
  </si>
  <si>
    <t>ユーザ名</t>
    <rPh sb="3" eb="4">
      <t>メイ</t>
    </rPh>
    <phoneticPr fontId="5"/>
  </si>
  <si>
    <t>l1db01</t>
    <phoneticPr fontId="5"/>
  </si>
  <si>
    <t>⑤</t>
    <phoneticPr fontId="5"/>
  </si>
  <si>
    <t>プロセス確認</t>
    <rPh sb="4" eb="6">
      <t>カクニン</t>
    </rPh>
    <phoneticPr fontId="5"/>
  </si>
  <si>
    <t>ps ef | grep CDDB2000.sh</t>
  </si>
  <si>
    <t>プロセスが存在しない(起動していない)場合は⑥および「１．バッチ実行」を実施</t>
    <rPh sb="5" eb="7">
      <t>ソンザイ</t>
    </rPh>
    <rPh sb="11" eb="13">
      <t>キドウ</t>
    </rPh>
    <rPh sb="19" eb="21">
      <t>バアイ</t>
    </rPh>
    <rPh sb="32" eb="34">
      <t>ジッコウ</t>
    </rPh>
    <rPh sb="36" eb="38">
      <t>ジッシ</t>
    </rPh>
    <phoneticPr fontId="5"/>
  </si>
  <si>
    <t>※業務上意図的に止められている可能性もあるため、リーダーに確認すること</t>
    <rPh sb="1" eb="4">
      <t>ギョウムジョウ</t>
    </rPh>
    <rPh sb="4" eb="7">
      <t>イトテキ</t>
    </rPh>
    <rPh sb="8" eb="9">
      <t>ト</t>
    </rPh>
    <rPh sb="15" eb="18">
      <t>カノウセイ</t>
    </rPh>
    <rPh sb="29" eb="31">
      <t>カクニン</t>
    </rPh>
    <phoneticPr fontId="5"/>
  </si>
  <si>
    <t>⑥</t>
    <phoneticPr fontId="5"/>
  </si>
  <si>
    <t>以下コマンド実行し、envファイルの中身を確認</t>
    <rPh sb="0" eb="2">
      <t>イカ</t>
    </rPh>
    <rPh sb="6" eb="8">
      <t>ジッコウ</t>
    </rPh>
    <rPh sb="18" eb="20">
      <t>ナカミ</t>
    </rPh>
    <rPh sb="21" eb="23">
      <t>カクニン</t>
    </rPh>
    <phoneticPr fontId="5"/>
  </si>
  <si>
    <t>$</t>
    <phoneticPr fontId="5"/>
  </si>
  <si>
    <t>less /home/l1db/jsvc/l1batch/CDDB2000/bin/CDDB2000.env</t>
  </si>
  <si>
    <t>⇒STOP=startであること</t>
  </si>
  <si>
    <t>　※STOP=stopである場合、書き換えする</t>
  </si>
  <si>
    <t>確認後は以下コマンドでファイル閲覧状態から抜け出す</t>
    <rPh sb="0" eb="3">
      <t>カクニンゴ</t>
    </rPh>
    <rPh sb="4" eb="6">
      <t>イカ</t>
    </rPh>
    <rPh sb="15" eb="19">
      <t>エツランジョウタイ</t>
    </rPh>
    <rPh sb="21" eb="22">
      <t>ヌ</t>
    </rPh>
    <rPh sb="23" eb="24">
      <t>ダ</t>
    </rPh>
    <phoneticPr fontId="5"/>
  </si>
  <si>
    <t>「esc」＋「：」＋「ｑ」</t>
    <phoneticPr fontId="5"/>
  </si>
  <si>
    <t>1．バッチ実行</t>
    <rPh sb="5" eb="7">
      <t>ジッコウ</t>
    </rPh>
    <phoneticPr fontId="5"/>
  </si>
  <si>
    <t>バッチ実行前に日付を抑えておく</t>
    <rPh sb="3" eb="6">
      <t>ジッコウマエ</t>
    </rPh>
    <rPh sb="7" eb="9">
      <t>ヒヅケ</t>
    </rPh>
    <rPh sb="10" eb="11">
      <t>オサ</t>
    </rPh>
    <phoneticPr fontId="5"/>
  </si>
  <si>
    <t>shコマンド実行</t>
    <rPh sb="6" eb="8">
      <t>ジッコウ</t>
    </rPh>
    <phoneticPr fontId="5"/>
  </si>
  <si>
    <t>sh -vx /home/l1db/jsvc/l1batch/CDDB2000/bin/CDDB2000.sh</t>
  </si>
  <si>
    <t>以下画像のようなlogが出力されたら、「ctrl + C」を押下</t>
    <rPh sb="0" eb="4">
      <t>イカガゾウ</t>
    </rPh>
    <rPh sb="12" eb="14">
      <t>シュツリョク</t>
    </rPh>
    <rPh sb="30" eb="32">
      <t>オウカ</t>
    </rPh>
    <phoneticPr fontId="5"/>
  </si>
  <si>
    <t>2．結果確認</t>
    <phoneticPr fontId="5"/>
  </si>
  <si>
    <t>「NE_OPS_NAME」を確認</t>
    <rPh sb="14" eb="16">
      <t>カクニン</t>
    </rPh>
    <phoneticPr fontId="5"/>
  </si>
  <si>
    <t>正しい値が入っていること</t>
    <rPh sb="0" eb="1">
      <t>タダ</t>
    </rPh>
    <rPh sb="3" eb="4">
      <t>アタイ</t>
    </rPh>
    <rPh sb="5" eb="6">
      <t>ハイ</t>
    </rPh>
    <phoneticPr fontId="5"/>
  </si>
  <si>
    <t>10.223.153.201</t>
  </si>
  <si>
    <t>ログを確認する</t>
    <rPh sb="3" eb="5">
      <t>カクニン</t>
    </rPh>
    <phoneticPr fontId="5"/>
  </si>
  <si>
    <t>・JOBLOG</t>
  </si>
  <si>
    <t>less /home/l1db/log/bat/JOBLOG.log</t>
  </si>
  <si>
    <t>・all.log</t>
  </si>
  <si>
    <t>less /home/l1db/jsvc/l1batch/CDDB2000/logs/all.log</t>
  </si>
  <si>
    <t>・ERROR.log</t>
    <phoneticPr fontId="5"/>
  </si>
  <si>
    <t>less /home/l1db/jsvc/l1batch/CDDB2000/logs/ERROR.log</t>
  </si>
  <si>
    <t>テストケース</t>
    <phoneticPr fontId="5"/>
  </si>
  <si>
    <t>操作</t>
    <rPh sb="0" eb="2">
      <t>ソウサ</t>
    </rPh>
    <phoneticPr fontId="5"/>
  </si>
  <si>
    <t>入力値、SQL等</t>
    <rPh sb="0" eb="3">
      <t>ニュウリョクチ</t>
    </rPh>
    <rPh sb="7" eb="8">
      <t>トウ</t>
    </rPh>
    <phoneticPr fontId="5"/>
  </si>
  <si>
    <t>IT-001</t>
    <phoneticPr fontId="5"/>
  </si>
  <si>
    <t>NWZC7600検索条件</t>
    <rPh sb="8" eb="10">
      <t>ケンサク</t>
    </rPh>
    <rPh sb="10" eb="12">
      <t>ジョウケン</t>
    </rPh>
    <phoneticPr fontId="5"/>
  </si>
  <si>
    <t>ビルコード</t>
    <phoneticPr fontId="5"/>
  </si>
  <si>
    <t>4120100301</t>
    <phoneticPr fontId="5"/>
  </si>
  <si>
    <t>フロア</t>
    <phoneticPr fontId="5"/>
  </si>
  <si>
    <t>002</t>
    <phoneticPr fontId="5"/>
  </si>
  <si>
    <t>群</t>
    <rPh sb="0" eb="1">
      <t>グン</t>
    </rPh>
    <phoneticPr fontId="5"/>
  </si>
  <si>
    <t>N</t>
    <phoneticPr fontId="5"/>
  </si>
  <si>
    <t>架番号</t>
    <rPh sb="0" eb="1">
      <t>カ</t>
    </rPh>
    <rPh sb="1" eb="3">
      <t>バンゴウ</t>
    </rPh>
    <phoneticPr fontId="5"/>
  </si>
  <si>
    <t>ﾕﾆｯﾄ物品ｺｰﾄﾞ</t>
    <phoneticPr fontId="5"/>
  </si>
  <si>
    <t>5L530065</t>
    <phoneticPr fontId="5"/>
  </si>
  <si>
    <t>装置収容機器確認</t>
    <rPh sb="0" eb="2">
      <t>ソウチ</t>
    </rPh>
    <rPh sb="2" eb="4">
      <t>シュウヨウ</t>
    </rPh>
    <rPh sb="4" eb="6">
      <t>キキ</t>
    </rPh>
    <rPh sb="6" eb="8">
      <t>カクニン</t>
    </rPh>
    <phoneticPr fontId="5"/>
  </si>
  <si>
    <t>コマ名変更データパッチ</t>
    <rPh sb="2" eb="3">
      <t>メイ</t>
    </rPh>
    <rPh sb="3" eb="5">
      <t>ヘンコウ</t>
    </rPh>
    <phoneticPr fontId="5"/>
  </si>
  <si>
    <t>コマ名修正データパッチ</t>
    <rPh sb="2" eb="3">
      <t>メイ</t>
    </rPh>
    <rPh sb="3" eb="5">
      <t>シュウセイ</t>
    </rPh>
    <phoneticPr fontId="5"/>
  </si>
  <si>
    <t>実施テストケース</t>
    <rPh sb="0" eb="2">
      <t>ジッシ</t>
    </rPh>
    <phoneticPr fontId="5"/>
  </si>
  <si>
    <t>条件概要</t>
    <rPh sb="0" eb="2">
      <t>ジョウケン</t>
    </rPh>
    <rPh sb="2" eb="4">
      <t>ガイヨウ</t>
    </rPh>
    <phoneticPr fontId="5"/>
  </si>
  <si>
    <t>条件</t>
    <rPh sb="0" eb="2">
      <t>ジョウケン</t>
    </rPh>
    <phoneticPr fontId="5"/>
  </si>
  <si>
    <t>データ例</t>
    <rPh sb="3" eb="4">
      <t>レイ</t>
    </rPh>
    <phoneticPr fontId="5"/>
  </si>
  <si>
    <t>DT100-001</t>
    <phoneticPr fontId="5"/>
  </si>
  <si>
    <t>DT100-002</t>
  </si>
  <si>
    <t>DT100-003</t>
  </si>
  <si>
    <t>DT100-004</t>
    <phoneticPr fontId="5"/>
  </si>
  <si>
    <t>DT100-005</t>
  </si>
  <si>
    <t>DT100-006</t>
  </si>
  <si>
    <t>DT100-007</t>
  </si>
  <si>
    <t>DT100-008</t>
  </si>
  <si>
    <t>DT100-009</t>
  </si>
  <si>
    <t>DT100-010</t>
  </si>
  <si>
    <t>DT100-011</t>
  </si>
  <si>
    <t>DT100-012</t>
  </si>
  <si>
    <t>DT100-013</t>
  </si>
  <si>
    <t>DT100-014</t>
  </si>
  <si>
    <t>DT100-015</t>
  </si>
  <si>
    <t>DT100-016</t>
  </si>
  <si>
    <t>DT100-017</t>
  </si>
  <si>
    <t>DT100-018</t>
  </si>
  <si>
    <t>DT100-019</t>
  </si>
  <si>
    <t>DT100-020</t>
  </si>
  <si>
    <t>割引率条件</t>
    <rPh sb="0" eb="2">
      <t>ワリビキ</t>
    </rPh>
    <rPh sb="2" eb="3">
      <t>リツ</t>
    </rPh>
    <rPh sb="3" eb="5">
      <t>ジョウケン</t>
    </rPh>
    <phoneticPr fontId="5"/>
  </si>
  <si>
    <t>雨の日</t>
    <rPh sb="0" eb="1">
      <t>アメ</t>
    </rPh>
    <rPh sb="2" eb="3">
      <t>ヒ</t>
    </rPh>
    <phoneticPr fontId="5"/>
  </si>
  <si>
    <t>Y</t>
    <phoneticPr fontId="5"/>
  </si>
  <si>
    <t>平日</t>
    <rPh sb="0" eb="2">
      <t>ヘイジツ</t>
    </rPh>
    <phoneticPr fontId="5"/>
  </si>
  <si>
    <t>―</t>
    <phoneticPr fontId="5"/>
  </si>
  <si>
    <t>クーポン持参</t>
    <rPh sb="4" eb="6">
      <t>ジサン</t>
    </rPh>
    <phoneticPr fontId="5"/>
  </si>
  <si>
    <t>期待値（適用）</t>
    <rPh sb="0" eb="2">
      <t>キタイ</t>
    </rPh>
    <rPh sb="2" eb="3">
      <t>アタイ</t>
    </rPh>
    <rPh sb="4" eb="6">
      <t>テキヨウ</t>
    </rPh>
    <phoneticPr fontId="5"/>
  </si>
  <si>
    <t>適用割引率</t>
    <rPh sb="0" eb="2">
      <t>テキヨウ</t>
    </rPh>
    <rPh sb="2" eb="4">
      <t>ワリビキ</t>
    </rPh>
    <rPh sb="4" eb="5">
      <t>リツ</t>
    </rPh>
    <phoneticPr fontId="5"/>
  </si>
  <si>
    <t>割引なし</t>
    <rPh sb="0" eb="2">
      <t>ワリビキ</t>
    </rPh>
    <phoneticPr fontId="5"/>
  </si>
  <si>
    <t>5％OFF</t>
    <phoneticPr fontId="5"/>
  </si>
  <si>
    <t>10％OFF</t>
    <phoneticPr fontId="5"/>
  </si>
  <si>
    <t>20％OFF</t>
    <phoneticPr fontId="5"/>
  </si>
  <si>
    <t>DT200-001</t>
    <phoneticPr fontId="5"/>
  </si>
  <si>
    <t>DT200-002</t>
    <phoneticPr fontId="5"/>
  </si>
  <si>
    <t>DT200-003</t>
  </si>
  <si>
    <t>DT200-004</t>
  </si>
  <si>
    <t>DT200-005</t>
  </si>
  <si>
    <t>DT200-006</t>
  </si>
  <si>
    <t>DT200-007</t>
  </si>
  <si>
    <t>DT200-008</t>
  </si>
  <si>
    <t>DT200-009</t>
  </si>
  <si>
    <t>DT200-010</t>
  </si>
  <si>
    <t>DT200-011</t>
  </si>
  <si>
    <t>DT200-012</t>
  </si>
  <si>
    <t>DT200-013</t>
  </si>
  <si>
    <t>DT200-014</t>
  </si>
  <si>
    <t>DT200-015</t>
  </si>
  <si>
    <t>DT200-016</t>
  </si>
  <si>
    <t>DT200-017</t>
  </si>
  <si>
    <t>DT200-018</t>
  </si>
  <si>
    <t>DT200-019</t>
  </si>
  <si>
    <t>DT200-020</t>
  </si>
  <si>
    <t>基準日</t>
    <rPh sb="0" eb="3">
      <t>キジュンビ</t>
    </rPh>
    <phoneticPr fontId="5"/>
  </si>
  <si>
    <t>試験ケース数</t>
    <rPh sb="0" eb="2">
      <t>シケン</t>
    </rPh>
    <rPh sb="5" eb="6">
      <t>スウ</t>
    </rPh>
    <phoneticPr fontId="5"/>
  </si>
  <si>
    <t>試験項目数</t>
    <rPh sb="0" eb="2">
      <t>シケン</t>
    </rPh>
    <rPh sb="2" eb="4">
      <t>コウモク</t>
    </rPh>
    <rPh sb="4" eb="5">
      <t>スウ</t>
    </rPh>
    <phoneticPr fontId="5"/>
  </si>
  <si>
    <t>実施</t>
    <rPh sb="0" eb="2">
      <t>ジッシ</t>
    </rPh>
    <phoneticPr fontId="5"/>
  </si>
  <si>
    <t>完了</t>
    <rPh sb="0" eb="2">
      <t>カンリョウ</t>
    </rPh>
    <phoneticPr fontId="5"/>
  </si>
  <si>
    <t>未完了</t>
    <rPh sb="0" eb="3">
      <t>ミカンリョウ</t>
    </rPh>
    <phoneticPr fontId="5"/>
  </si>
  <si>
    <t>完了（クロスチェック）</t>
    <rPh sb="0" eb="2">
      <t>カンリョウ</t>
    </rPh>
    <phoneticPr fontId="5"/>
  </si>
  <si>
    <t>※当シートを外部リンクしているので、フォーマット変更しないでください</t>
    <rPh sb="1" eb="2">
      <t>トウ</t>
    </rPh>
    <rPh sb="6" eb="8">
      <t>ガイブ</t>
    </rPh>
    <rPh sb="24" eb="26">
      <t>ヘンコウ</t>
    </rPh>
    <phoneticPr fontId="5"/>
  </si>
  <si>
    <t>確認分類</t>
    <rPh sb="0" eb="2">
      <t>カクニン</t>
    </rPh>
    <rPh sb="2" eb="4">
      <t>ブンルイ</t>
    </rPh>
    <phoneticPr fontId="5"/>
  </si>
  <si>
    <t>UT_単体テスト</t>
    <phoneticPr fontId="5"/>
  </si>
  <si>
    <t>出力内容確認</t>
    <rPh sb="0" eb="2">
      <t>シュツリョク</t>
    </rPh>
    <rPh sb="2" eb="4">
      <t>ナイヨウ</t>
    </rPh>
    <rPh sb="4" eb="6">
      <t>カクニン</t>
    </rPh>
    <phoneticPr fontId="5"/>
  </si>
  <si>
    <t>入力チェック</t>
    <phoneticPr fontId="5"/>
  </si>
  <si>
    <t>画面動作</t>
    <phoneticPr fontId="5"/>
  </si>
  <si>
    <t>命令網羅（C0）</t>
    <phoneticPr fontId="5"/>
  </si>
  <si>
    <t>分岐網羅（C1）</t>
    <phoneticPr fontId="5"/>
  </si>
  <si>
    <t>条件網羅（最少/最大/異常/境界）</t>
    <phoneticPr fontId="5"/>
  </si>
  <si>
    <t>繰返し（最少/最大/異常/境界）</t>
    <phoneticPr fontId="5"/>
  </si>
  <si>
    <t>演算確認</t>
    <rPh sb="2" eb="4">
      <t>カクニン</t>
    </rPh>
    <phoneticPr fontId="5"/>
  </si>
  <si>
    <t>メッセージ確認</t>
  </si>
  <si>
    <t>エラー確認</t>
  </si>
  <si>
    <t>IT1_処理結合テスト</t>
    <phoneticPr fontId="5"/>
  </si>
  <si>
    <t>処理確認</t>
    <rPh sb="0" eb="2">
      <t>ショリ</t>
    </rPh>
    <rPh sb="2" eb="4">
      <t>カクニン</t>
    </rPh>
    <phoneticPr fontId="5"/>
  </si>
  <si>
    <t>出力内容確認</t>
    <phoneticPr fontId="5"/>
  </si>
  <si>
    <t>入力チェック</t>
    <rPh sb="0" eb="2">
      <t>ニュウリョク</t>
    </rPh>
    <phoneticPr fontId="5"/>
  </si>
  <si>
    <t>画面動作</t>
    <rPh sb="0" eb="2">
      <t>ガメン</t>
    </rPh>
    <rPh sb="2" eb="4">
      <t>ドウサ</t>
    </rPh>
    <phoneticPr fontId="5"/>
  </si>
  <si>
    <t>メッセージ確認</t>
    <rPh sb="5" eb="7">
      <t>カクニン</t>
    </rPh>
    <phoneticPr fontId="5"/>
  </si>
  <si>
    <t>エラー確認</t>
    <phoneticPr fontId="5"/>
  </si>
  <si>
    <t>IT2_機能結合テスト</t>
    <phoneticPr fontId="5"/>
  </si>
  <si>
    <t>機能確認</t>
    <rPh sb="0" eb="2">
      <t>キノウ</t>
    </rPh>
    <rPh sb="2" eb="4">
      <t>カクニン</t>
    </rPh>
    <phoneticPr fontId="5"/>
  </si>
  <si>
    <t>IT3_業務結合テスト</t>
    <phoneticPr fontId="5"/>
  </si>
  <si>
    <t>業務確認</t>
    <rPh sb="0" eb="2">
      <t>ギョウム</t>
    </rPh>
    <rPh sb="2" eb="4">
      <t>カクニン</t>
    </rPh>
    <phoneticPr fontId="5"/>
  </si>
  <si>
    <t>出力内容確認</t>
    <rPh sb="4" eb="6">
      <t>カクニン</t>
    </rPh>
    <phoneticPr fontId="5"/>
  </si>
  <si>
    <t>IT4_外部連携テスト</t>
    <phoneticPr fontId="5"/>
  </si>
  <si>
    <t>疎通確認</t>
    <rPh sb="0" eb="2">
      <t>ソツウ</t>
    </rPh>
    <rPh sb="2" eb="4">
      <t>カクニン</t>
    </rPh>
    <phoneticPr fontId="5"/>
  </si>
  <si>
    <t>ST_システムテスト</t>
    <phoneticPr fontId="5"/>
  </si>
  <si>
    <t>性能（性能・負荷・ロード）</t>
    <rPh sb="3" eb="5">
      <t>セイノウ</t>
    </rPh>
    <rPh sb="6" eb="8">
      <t>フカ</t>
    </rPh>
    <phoneticPr fontId="5"/>
  </si>
  <si>
    <t>拡張性</t>
    <rPh sb="0" eb="2">
      <t>カクチョウ</t>
    </rPh>
    <rPh sb="2" eb="3">
      <t>セイ</t>
    </rPh>
    <phoneticPr fontId="5"/>
  </si>
  <si>
    <t xml:space="preserve">運用・保守性 </t>
    <rPh sb="0" eb="2">
      <t>ウンヨウ</t>
    </rPh>
    <rPh sb="3" eb="6">
      <t>ホシュセイ</t>
    </rPh>
    <phoneticPr fontId="5"/>
  </si>
  <si>
    <t>可用性（可用・耐障害・回復）</t>
    <rPh sb="4" eb="6">
      <t>カヨウ</t>
    </rPh>
    <rPh sb="7" eb="8">
      <t>タイ</t>
    </rPh>
    <rPh sb="11" eb="13">
      <t>カイフク</t>
    </rPh>
    <phoneticPr fontId="5"/>
  </si>
  <si>
    <t xml:space="preserve">移行性 </t>
    <rPh sb="0" eb="3">
      <t>イコウセイ</t>
    </rPh>
    <phoneticPr fontId="5"/>
  </si>
  <si>
    <t>セキュリティ</t>
    <phoneticPr fontId="5"/>
  </si>
  <si>
    <t>確認機能・確認処理</t>
    <rPh sb="0" eb="2">
      <t>カクニン</t>
    </rPh>
    <rPh sb="2" eb="4">
      <t>キノウ</t>
    </rPh>
    <rPh sb="5" eb="7">
      <t>カクニン</t>
    </rPh>
    <rPh sb="7" eb="9">
      <t>ショリ</t>
    </rPh>
    <phoneticPr fontId="5"/>
  </si>
  <si>
    <t>項目分類</t>
    <rPh sb="0" eb="2">
      <t>コウモク</t>
    </rPh>
    <rPh sb="2" eb="4">
      <t>ブンルイ</t>
    </rPh>
    <phoneticPr fontId="5"/>
  </si>
  <si>
    <t>修正対象</t>
    <rPh sb="0" eb="2">
      <t>シュウセイ</t>
    </rPh>
    <rPh sb="2" eb="4">
      <t>タイショウ</t>
    </rPh>
    <phoneticPr fontId="5"/>
  </si>
  <si>
    <t>○</t>
    <phoneticPr fontId="5"/>
  </si>
  <si>
    <t>画面</t>
    <phoneticPr fontId="5"/>
  </si>
  <si>
    <t>メッセージ</t>
    <phoneticPr fontId="5"/>
  </si>
  <si>
    <t>入力・確認</t>
    <rPh sb="0" eb="2">
      <t>ニュウリョク</t>
    </rPh>
    <rPh sb="3" eb="5">
      <t>カクニン</t>
    </rPh>
    <phoneticPr fontId="5"/>
  </si>
  <si>
    <t>DB</t>
    <phoneticPr fontId="5"/>
  </si>
  <si>
    <t>ログ</t>
    <phoneticPr fontId="5"/>
  </si>
  <si>
    <t>出力ファイル</t>
    <rPh sb="0" eb="2">
      <t>シュツリョク</t>
    </rPh>
    <phoneticPr fontId="5"/>
  </si>
  <si>
    <t>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</si>
</sst>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176" formatCode="m/d"/>
    <numFmt numFmtId="177" formatCode="yyyy/mm/dd"/>
    <numFmt numFmtId="178" formatCode="_(* #,##0_);_(* \(#,##0\);_(* &quot;-&quot;_);_(@_)"/>
    <numFmt numFmtId="179" formatCode="_(&quot;$&quot;* #,##0_);_(&quot;$&quot;* \(#,##0\);_(&quot;$&quot;* &quot;-&quot;_);_(@_)"/>
    <numFmt numFmtId="180" formatCode="0.0_ "/>
    <numFmt numFmtId="181" formatCode="0_);[Red]\(0\)"/>
    <numFmt numFmtId="182" formatCode="yyyy/mm/dd\ h:mm:ss"/>
  </numFmts>
  <fonts count="56">
    <font>
      <sz val="11"/>
      <color theme="1"/>
      <name val="ＭＳ Ｐゴシック"/>
      <family val="2"/>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font>
    <font>
      <sz val="6"/>
      <name val="ＭＳ Ｐゴシック"/>
      <family val="2"/>
      <charset val="128"/>
      <scheme val="minor"/>
    </font>
    <font>
      <sz val="11"/>
      <color theme="1"/>
      <name val="メイリオ"/>
      <family val="3"/>
      <charset val="128"/>
    </font>
    <font>
      <sz val="10"/>
      <color theme="1"/>
      <name val="Meiryo UI"/>
      <family val="3"/>
      <charset val="128"/>
    </font>
    <font>
      <sz val="6"/>
      <name val="ＭＳ Ｐゴシック"/>
      <family val="3"/>
      <charset val="128"/>
      <scheme val="minor"/>
    </font>
    <font>
      <b/>
      <u/>
      <sz val="14"/>
      <name val="Meiryo UI"/>
      <family val="3"/>
      <charset val="128"/>
    </font>
    <font>
      <sz val="10"/>
      <name val="Meiryo UI"/>
      <family val="3"/>
      <charset val="128"/>
    </font>
    <font>
      <sz val="11"/>
      <name val="Meiryo UI"/>
      <family val="3"/>
      <charset val="128"/>
    </font>
    <font>
      <b/>
      <sz val="10"/>
      <name val="Meiryo UI"/>
      <family val="3"/>
      <charset val="128"/>
    </font>
    <font>
      <sz val="6"/>
      <name val="Meiryo UI"/>
      <family val="2"/>
      <charset val="128"/>
    </font>
    <font>
      <sz val="11"/>
      <name val="メイリオ"/>
      <family val="3"/>
      <charset val="128"/>
    </font>
    <font>
      <sz val="10"/>
      <color theme="0"/>
      <name val="メイリオ"/>
      <family val="3"/>
      <charset val="128"/>
    </font>
    <font>
      <sz val="10"/>
      <color theme="1"/>
      <name val="メイリオ"/>
      <family val="3"/>
      <charset val="128"/>
    </font>
    <font>
      <sz val="10"/>
      <name val="メイリオ"/>
      <family val="3"/>
      <charset val="128"/>
    </font>
    <font>
      <sz val="11"/>
      <color theme="0"/>
      <name val="メイリオ"/>
      <family val="3"/>
      <charset val="128"/>
    </font>
    <font>
      <sz val="11"/>
      <color theme="1"/>
      <name val="ＭＳ Ｐゴシック"/>
      <family val="2"/>
      <charset val="128"/>
    </font>
    <font>
      <sz val="10"/>
      <name val="Arial"/>
      <family val="2"/>
    </font>
    <font>
      <sz val="10"/>
      <name val="Helv"/>
      <family val="2"/>
    </font>
    <font>
      <sz val="10"/>
      <name val="ＭＳ ゴシック"/>
      <family val="3"/>
      <charset val="128"/>
    </font>
    <font>
      <sz val="11"/>
      <name val="ＭＳ Ｐゴシック"/>
      <family val="3"/>
      <charset val="128"/>
    </font>
    <font>
      <sz val="12"/>
      <name val="Arial"/>
      <family val="2"/>
    </font>
    <font>
      <u/>
      <sz val="8"/>
      <color indexed="12"/>
      <name val="Times New Roman"/>
      <family val="1"/>
    </font>
    <font>
      <sz val="10"/>
      <color theme="0"/>
      <name val="Meiryo UI"/>
      <family val="3"/>
      <charset val="128"/>
    </font>
    <font>
      <sz val="11"/>
      <color theme="1"/>
      <name val="ＭＳ Ｐゴシック"/>
      <family val="3"/>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Meiryo UI"/>
      <family val="3"/>
      <charset val="128"/>
    </font>
    <font>
      <b/>
      <sz val="11"/>
      <color theme="1"/>
      <name val="游ゴシック"/>
      <family val="3"/>
      <charset val="128"/>
    </font>
    <font>
      <sz val="11"/>
      <color theme="1"/>
      <name val="游ゴシック"/>
      <family val="3"/>
      <charset val="128"/>
    </font>
    <font>
      <sz val="11"/>
      <color theme="1"/>
      <name val="Calibri"/>
      <family val="2"/>
    </font>
    <font>
      <b/>
      <sz val="11"/>
      <color rgb="FF000000"/>
      <name val="游ゴシック"/>
      <family val="3"/>
      <charset val="128"/>
    </font>
    <font>
      <sz val="11"/>
      <color theme="1"/>
      <name val="游ゴシック"/>
      <family val="2"/>
    </font>
    <font>
      <b/>
      <sz val="11"/>
      <color rgb="FF000000"/>
      <name val="ＭＳ Ｐゴシック"/>
      <family val="3"/>
      <charset val="128"/>
    </font>
    <font>
      <sz val="11"/>
      <color rgb="FF7F878F"/>
      <name val="ＭＳ Ｐゴシック"/>
      <family val="3"/>
      <charset val="128"/>
    </font>
    <font>
      <b/>
      <sz val="11"/>
      <color rgb="FFFF0000"/>
      <name val="ＭＳ Ｐゴシック"/>
      <family val="3"/>
      <charset val="128"/>
    </font>
    <font>
      <sz val="11"/>
      <color rgb="FF000000"/>
      <name val="ＭＳ Ｐゴシック"/>
      <family val="3"/>
      <charset val="128"/>
    </font>
  </fonts>
  <fills count="38">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0" tint="-4.9989318521683403E-2"/>
        <bgColor indexed="64"/>
      </patternFill>
    </fill>
    <fill>
      <patternFill patternType="solid">
        <fgColor rgb="FF87E7AD"/>
        <bgColor rgb="FF000000"/>
      </patternFill>
    </fill>
    <fill>
      <patternFill patternType="solid">
        <fgColor theme="9" tint="0.79998168889431442"/>
        <bgColor indexed="64"/>
      </patternFill>
    </fill>
    <fill>
      <patternFill patternType="solid">
        <fgColor rgb="FF87E7AD"/>
        <bgColor indexed="64"/>
      </patternFill>
    </fill>
    <fill>
      <patternFill patternType="solid">
        <fgColor theme="5" tint="0.79998168889431442"/>
        <bgColor indexed="64"/>
      </patternFill>
    </fill>
    <fill>
      <patternFill patternType="solid">
        <fgColor theme="3" tint="0.79998168889431442"/>
        <bgColor indexed="64"/>
      </patternFill>
    </fill>
  </fills>
  <borders count="170">
    <border>
      <left/>
      <right/>
      <top/>
      <bottom/>
      <diagonal/>
    </border>
    <border>
      <left style="thin">
        <color indexed="64"/>
      </left>
      <right/>
      <top/>
      <bottom style="hair">
        <color indexed="64"/>
      </bottom>
      <diagonal/>
    </border>
    <border>
      <left style="hair">
        <color indexed="64"/>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double">
        <color indexed="64"/>
      </right>
      <top/>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double">
        <color indexed="64"/>
      </left>
      <right style="thin">
        <color indexed="64"/>
      </right>
      <top style="medium">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hair">
        <color auto="1"/>
      </left>
      <right style="hair">
        <color auto="1"/>
      </right>
      <top style="thin">
        <color auto="1"/>
      </top>
      <bottom style="thin">
        <color auto="1"/>
      </bottom>
      <diagonal/>
    </border>
    <border>
      <left style="hair">
        <color auto="1"/>
      </left>
      <right style="thin">
        <color indexed="64"/>
      </right>
      <top style="thin">
        <color auto="1"/>
      </top>
      <bottom style="thin">
        <color auto="1"/>
      </bottom>
      <diagonal/>
    </border>
    <border>
      <left style="thin">
        <color indexed="64"/>
      </left>
      <right style="hair">
        <color indexed="64"/>
      </right>
      <top style="thin">
        <color auto="1"/>
      </top>
      <bottom style="thin">
        <color auto="1"/>
      </bottom>
      <diagonal/>
    </border>
    <border>
      <left style="thin">
        <color auto="1"/>
      </left>
      <right style="thin">
        <color auto="1"/>
      </right>
      <top style="hair">
        <color indexed="64"/>
      </top>
      <bottom style="hair">
        <color indexed="64"/>
      </bottom>
      <diagonal/>
    </border>
    <border>
      <left style="hair">
        <color auto="1"/>
      </left>
      <right style="hair">
        <color auto="1"/>
      </right>
      <top style="hair">
        <color indexed="64"/>
      </top>
      <bottom style="hair">
        <color indexed="64"/>
      </bottom>
      <diagonal/>
    </border>
    <border>
      <left style="hair">
        <color auto="1"/>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thin">
        <color indexed="64"/>
      </bottom>
      <diagonal/>
    </border>
    <border>
      <left style="hair">
        <color auto="1"/>
      </left>
      <right style="hair">
        <color auto="1"/>
      </right>
      <top/>
      <bottom style="hair">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double">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thin">
        <color indexed="64"/>
      </left>
      <right/>
      <top style="medium">
        <color indexed="64"/>
      </top>
      <bottom/>
      <diagonal/>
    </border>
    <border>
      <left style="thin">
        <color auto="1"/>
      </left>
      <right/>
      <top style="medium">
        <color indexed="64"/>
      </top>
      <bottom style="thin">
        <color auto="1"/>
      </bottom>
      <diagonal/>
    </border>
    <border>
      <left style="thin">
        <color auto="1"/>
      </left>
      <right style="double">
        <color indexed="64"/>
      </right>
      <top style="medium">
        <color indexed="64"/>
      </top>
      <bottom style="thin">
        <color indexed="64"/>
      </bottom>
      <diagonal/>
    </border>
    <border>
      <left style="thin">
        <color auto="1"/>
      </left>
      <right style="thin">
        <color auto="1"/>
      </right>
      <top style="hair">
        <color auto="1"/>
      </top>
      <bottom style="thin">
        <color auto="1"/>
      </bottom>
      <diagonal/>
    </border>
    <border>
      <left style="thin">
        <color indexed="64"/>
      </left>
      <right style="hair">
        <color indexed="64"/>
      </right>
      <top style="hair">
        <color indexed="64"/>
      </top>
      <bottom style="thin">
        <color auto="1"/>
      </bottom>
      <diagonal/>
    </border>
    <border>
      <left style="hair">
        <color indexed="64"/>
      </left>
      <right style="thin">
        <color indexed="64"/>
      </right>
      <top style="hair">
        <color indexed="64"/>
      </top>
      <bottom style="thin">
        <color auto="1"/>
      </bottom>
      <diagonal/>
    </border>
    <border>
      <left style="hair">
        <color auto="1"/>
      </left>
      <right style="thin">
        <color auto="1"/>
      </right>
      <top/>
      <bottom style="hair">
        <color indexed="64"/>
      </bottom>
      <diagonal/>
    </border>
    <border>
      <left style="hair">
        <color auto="1"/>
      </left>
      <right style="hair">
        <color auto="1"/>
      </right>
      <top style="hair">
        <color indexed="64"/>
      </top>
      <bottom style="thin">
        <color auto="1"/>
      </bottom>
      <diagonal/>
    </border>
    <border>
      <left style="thin">
        <color auto="1"/>
      </left>
      <right style="hair">
        <color auto="1"/>
      </right>
      <top/>
      <bottom style="hair">
        <color indexed="64"/>
      </bottom>
      <diagonal/>
    </border>
    <border>
      <left style="hair">
        <color auto="1"/>
      </left>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bottom style="double">
        <color auto="1"/>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bottom style="double">
        <color indexed="64"/>
      </bottom>
      <diagonal/>
    </border>
    <border>
      <left style="hair">
        <color auto="1"/>
      </left>
      <right style="hair">
        <color auto="1"/>
      </right>
      <top style="medium">
        <color auto="1"/>
      </top>
      <bottom style="hair">
        <color auto="1"/>
      </bottom>
      <diagonal/>
    </border>
    <border>
      <left style="thin">
        <color auto="1"/>
      </left>
      <right/>
      <top style="thick">
        <color indexed="64"/>
      </top>
      <bottom style="double">
        <color indexed="64"/>
      </bottom>
      <diagonal/>
    </border>
    <border>
      <left style="thin">
        <color indexed="64"/>
      </left>
      <right/>
      <top style="double">
        <color indexed="64"/>
      </top>
      <bottom style="hair">
        <color indexed="64"/>
      </bottom>
      <diagonal/>
    </border>
    <border>
      <left style="hair">
        <color auto="1"/>
      </left>
      <right style="hair">
        <color auto="1"/>
      </right>
      <top style="double">
        <color indexed="64"/>
      </top>
      <bottom style="hair">
        <color indexed="64"/>
      </bottom>
      <diagonal/>
    </border>
    <border>
      <left style="thin">
        <color indexed="64"/>
      </left>
      <right/>
      <top style="hair">
        <color indexed="64"/>
      </top>
      <bottom style="thick">
        <color indexed="64"/>
      </bottom>
      <diagonal/>
    </border>
    <border>
      <left style="hair">
        <color auto="1"/>
      </left>
      <right style="hair">
        <color auto="1"/>
      </right>
      <top style="hair">
        <color indexed="64"/>
      </top>
      <bottom style="thick">
        <color indexed="64"/>
      </bottom>
      <diagonal/>
    </border>
    <border>
      <left style="thin">
        <color auto="1"/>
      </left>
      <right style="thin">
        <color auto="1"/>
      </right>
      <top style="double">
        <color indexed="64"/>
      </top>
      <bottom/>
      <diagonal/>
    </border>
    <border>
      <left style="thick">
        <color indexed="64"/>
      </left>
      <right style="hair">
        <color auto="1"/>
      </right>
      <top style="medium">
        <color auto="1"/>
      </top>
      <bottom style="hair">
        <color auto="1"/>
      </bottom>
      <diagonal/>
    </border>
    <border>
      <left style="hair">
        <color auto="1"/>
      </left>
      <right style="thick">
        <color indexed="64"/>
      </right>
      <top style="medium">
        <color auto="1"/>
      </top>
      <bottom style="hair">
        <color auto="1"/>
      </bottom>
      <diagonal/>
    </border>
    <border>
      <left style="thick">
        <color indexed="64"/>
      </left>
      <right style="hair">
        <color auto="1"/>
      </right>
      <top style="hair">
        <color indexed="64"/>
      </top>
      <bottom style="hair">
        <color indexed="64"/>
      </bottom>
      <diagonal/>
    </border>
    <border>
      <left style="hair">
        <color indexed="64"/>
      </left>
      <right style="thick">
        <color indexed="64"/>
      </right>
      <top style="hair">
        <color indexed="64"/>
      </top>
      <bottom style="hair">
        <color indexed="64"/>
      </bottom>
      <diagonal/>
    </border>
    <border>
      <left style="thick">
        <color indexed="64"/>
      </left>
      <right style="hair">
        <color auto="1"/>
      </right>
      <top style="double">
        <color indexed="64"/>
      </top>
      <bottom style="hair">
        <color indexed="64"/>
      </bottom>
      <diagonal/>
    </border>
    <border>
      <left style="hair">
        <color indexed="64"/>
      </left>
      <right style="thick">
        <color indexed="64"/>
      </right>
      <top style="double">
        <color indexed="64"/>
      </top>
      <bottom style="hair">
        <color indexed="64"/>
      </bottom>
      <diagonal/>
    </border>
    <border>
      <left style="thick">
        <color indexed="64"/>
      </left>
      <right style="hair">
        <color auto="1"/>
      </right>
      <top style="hair">
        <color indexed="64"/>
      </top>
      <bottom style="thick">
        <color indexed="64"/>
      </bottom>
      <diagonal/>
    </border>
    <border>
      <left style="hair">
        <color indexed="64"/>
      </left>
      <right style="thick">
        <color indexed="64"/>
      </right>
      <top style="hair">
        <color indexed="64"/>
      </top>
      <bottom style="thick">
        <color indexed="64"/>
      </bottom>
      <diagonal/>
    </border>
    <border>
      <left style="thin">
        <color indexed="64"/>
      </left>
      <right/>
      <top style="hair">
        <color indexed="64"/>
      </top>
      <bottom/>
      <diagonal/>
    </border>
    <border>
      <left style="thick">
        <color indexed="64"/>
      </left>
      <right style="hair">
        <color auto="1"/>
      </right>
      <top style="hair">
        <color indexed="64"/>
      </top>
      <bottom/>
      <diagonal/>
    </border>
    <border>
      <left style="hair">
        <color auto="1"/>
      </left>
      <right style="hair">
        <color auto="1"/>
      </right>
      <top style="hair">
        <color indexed="64"/>
      </top>
      <bottom/>
      <diagonal/>
    </border>
    <border>
      <left style="hair">
        <color indexed="64"/>
      </left>
      <right style="thick">
        <color indexed="64"/>
      </right>
      <top style="hair">
        <color indexed="64"/>
      </top>
      <bottom/>
      <diagonal/>
    </border>
    <border>
      <left style="thick">
        <color indexed="64"/>
      </left>
      <right style="hair">
        <color indexed="64"/>
      </right>
      <top style="thick">
        <color indexed="64"/>
      </top>
      <bottom style="double">
        <color indexed="64"/>
      </bottom>
      <diagonal/>
    </border>
    <border>
      <left style="hair">
        <color indexed="64"/>
      </left>
      <right style="hair">
        <color indexed="64"/>
      </right>
      <top style="thick">
        <color indexed="64"/>
      </top>
      <bottom style="double">
        <color indexed="64"/>
      </bottom>
      <diagonal/>
    </border>
    <border>
      <left style="hair">
        <color indexed="64"/>
      </left>
      <right style="thick">
        <color indexed="64"/>
      </right>
      <top style="thick">
        <color indexed="64"/>
      </top>
      <bottom style="double">
        <color indexed="64"/>
      </bottom>
      <diagonal/>
    </border>
    <border>
      <left style="medium">
        <color auto="1"/>
      </left>
      <right style="thick">
        <color indexed="64"/>
      </right>
      <top style="thick">
        <color indexed="64"/>
      </top>
      <bottom style="double">
        <color indexed="64"/>
      </bottom>
      <diagonal/>
    </border>
    <border>
      <left style="hair">
        <color indexed="64"/>
      </left>
      <right style="thin">
        <color indexed="64"/>
      </right>
      <top style="thick">
        <color indexed="64"/>
      </top>
      <bottom style="double">
        <color indexed="64"/>
      </bottom>
      <diagonal/>
    </border>
    <border>
      <left style="hair">
        <color indexed="64"/>
      </left>
      <right style="thin">
        <color indexed="64"/>
      </right>
      <top style="hair">
        <color indexed="64"/>
      </top>
      <bottom/>
      <diagonal/>
    </border>
    <border>
      <left style="hair">
        <color indexed="64"/>
      </left>
      <right style="thin">
        <color indexed="64"/>
      </right>
      <top style="double">
        <color indexed="64"/>
      </top>
      <bottom style="hair">
        <color indexed="64"/>
      </bottom>
      <diagonal/>
    </border>
    <border>
      <left style="hair">
        <color indexed="64"/>
      </left>
      <right style="thin">
        <color indexed="64"/>
      </right>
      <top style="hair">
        <color indexed="64"/>
      </top>
      <bottom style="thick">
        <color indexed="64"/>
      </bottom>
      <diagonal/>
    </border>
    <border>
      <left style="thick">
        <color indexed="64"/>
      </left>
      <right style="hair">
        <color auto="1"/>
      </right>
      <top style="double">
        <color indexed="64"/>
      </top>
      <bottom/>
      <diagonal/>
    </border>
    <border>
      <left style="thick">
        <color indexed="64"/>
      </left>
      <right style="hair">
        <color auto="1"/>
      </right>
      <top/>
      <bottom/>
      <diagonal/>
    </border>
    <border>
      <left style="thick">
        <color indexed="64"/>
      </left>
      <right style="hair">
        <color auto="1"/>
      </right>
      <top/>
      <bottom style="thin">
        <color indexed="64"/>
      </bottom>
      <diagonal/>
    </border>
    <border>
      <left style="thick">
        <color indexed="64"/>
      </left>
      <right style="hair">
        <color auto="1"/>
      </right>
      <top/>
      <bottom style="thick">
        <color indexed="64"/>
      </bottom>
      <diagonal/>
    </border>
    <border>
      <left/>
      <right style="thin">
        <color indexed="64"/>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style="medium">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auto="1"/>
      </left>
      <right style="thin">
        <color indexed="64"/>
      </right>
      <top/>
      <bottom style="hair">
        <color auto="1"/>
      </bottom>
      <diagonal/>
    </border>
    <border>
      <left style="thin">
        <color indexed="64"/>
      </left>
      <right style="thin">
        <color indexed="64"/>
      </right>
      <top/>
      <bottom style="hair">
        <color auto="1"/>
      </bottom>
      <diagonal/>
    </border>
    <border>
      <left style="thin">
        <color indexed="64"/>
      </left>
      <right style="double">
        <color indexed="64"/>
      </right>
      <top/>
      <bottom style="hair">
        <color auto="1"/>
      </bottom>
      <diagonal/>
    </border>
    <border>
      <left style="double">
        <color indexed="64"/>
      </left>
      <right style="thin">
        <color indexed="64"/>
      </right>
      <top/>
      <bottom style="hair">
        <color auto="1"/>
      </bottom>
      <diagonal/>
    </border>
    <border>
      <left style="thin">
        <color indexed="64"/>
      </left>
      <right style="medium">
        <color indexed="64"/>
      </right>
      <top/>
      <bottom style="hair">
        <color auto="1"/>
      </bottom>
      <diagonal/>
    </border>
    <border>
      <left style="medium">
        <color auto="1"/>
      </left>
      <right style="thin">
        <color indexed="64"/>
      </right>
      <top style="hair">
        <color auto="1"/>
      </top>
      <bottom style="hair">
        <color auto="1"/>
      </bottom>
      <diagonal/>
    </border>
    <border>
      <left style="thin">
        <color indexed="64"/>
      </left>
      <right style="double">
        <color indexed="64"/>
      </right>
      <top style="hair">
        <color auto="1"/>
      </top>
      <bottom style="hair">
        <color auto="1"/>
      </bottom>
      <diagonal/>
    </border>
    <border>
      <left style="double">
        <color indexed="64"/>
      </left>
      <right style="thin">
        <color indexed="64"/>
      </right>
      <top style="hair">
        <color auto="1"/>
      </top>
      <bottom style="hair">
        <color auto="1"/>
      </bottom>
      <diagonal/>
    </border>
    <border>
      <left style="thin">
        <color indexed="64"/>
      </left>
      <right style="medium">
        <color indexed="64"/>
      </right>
      <top style="hair">
        <color auto="1"/>
      </top>
      <bottom style="hair">
        <color auto="1"/>
      </bottom>
      <diagonal/>
    </border>
    <border>
      <left style="thick">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ck">
        <color indexed="64"/>
      </right>
      <top style="double">
        <color indexed="64"/>
      </top>
      <bottom style="double">
        <color indexed="64"/>
      </bottom>
      <diagonal/>
    </border>
    <border>
      <left/>
      <right/>
      <top style="thin">
        <color auto="1"/>
      </top>
      <bottom/>
      <diagonal/>
    </border>
    <border>
      <left style="thin">
        <color indexed="64"/>
      </left>
      <right style="thin">
        <color indexed="64"/>
      </right>
      <top style="thin">
        <color auto="1"/>
      </top>
      <bottom style="hair">
        <color auto="1"/>
      </bottom>
      <diagonal/>
    </border>
    <border>
      <left/>
      <right/>
      <top style="thin">
        <color auto="1"/>
      </top>
      <bottom style="thin">
        <color indexed="64"/>
      </bottom>
      <diagonal/>
    </border>
    <border>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hair">
        <color indexed="64"/>
      </top>
      <bottom/>
      <diagonal/>
    </border>
    <border>
      <left style="thin">
        <color indexed="64"/>
      </left>
      <right style="hair">
        <color indexed="64"/>
      </right>
      <top style="hair">
        <color indexed="64"/>
      </top>
      <bottom/>
      <diagonal/>
    </border>
    <border>
      <left/>
      <right/>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double">
        <color indexed="64"/>
      </right>
      <top style="medium">
        <color indexed="64"/>
      </top>
      <bottom style="thin">
        <color indexed="64"/>
      </bottom>
      <diagonal/>
    </border>
    <border>
      <left style="double">
        <color indexed="64"/>
      </left>
      <right/>
      <top style="medium">
        <color indexed="64"/>
      </top>
      <bottom style="thin">
        <color auto="1"/>
      </bottom>
      <diagonal/>
    </border>
    <border>
      <left/>
      <right style="medium">
        <color indexed="64"/>
      </right>
      <top style="medium">
        <color indexed="64"/>
      </top>
      <bottom style="thin">
        <color indexed="64"/>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indexed="64"/>
      </left>
      <right/>
      <top style="thin">
        <color auto="1"/>
      </top>
      <bottom style="hair">
        <color auto="1"/>
      </bottom>
      <diagonal/>
    </border>
    <border>
      <left/>
      <right/>
      <top style="thin">
        <color auto="1"/>
      </top>
      <bottom style="hair">
        <color auto="1"/>
      </bottom>
      <diagonal/>
    </border>
    <border>
      <left/>
      <right style="thin">
        <color indexed="64"/>
      </right>
      <top style="thin">
        <color auto="1"/>
      </top>
      <bottom style="hair">
        <color auto="1"/>
      </bottom>
      <diagonal/>
    </border>
    <border>
      <left/>
      <right/>
      <top/>
      <bottom style="thin">
        <color auto="1"/>
      </bottom>
      <diagonal/>
    </border>
    <border>
      <left style="thin">
        <color indexed="64"/>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indexed="64"/>
      </right>
      <top style="medium">
        <color auto="1"/>
      </top>
      <bottom style="hair">
        <color auto="1"/>
      </bottom>
      <diagonal/>
    </border>
    <border>
      <left style="thick">
        <color indexed="64"/>
      </left>
      <right style="thin">
        <color indexed="64"/>
      </right>
      <top style="thick">
        <color indexed="64"/>
      </top>
      <bottom style="double">
        <color indexed="64"/>
      </bottom>
      <diagonal/>
    </border>
    <border>
      <left style="thin">
        <color auto="1"/>
      </left>
      <right style="thin">
        <color auto="1"/>
      </right>
      <top style="thick">
        <color indexed="64"/>
      </top>
      <bottom style="double">
        <color indexed="64"/>
      </bottom>
      <diagonal/>
    </border>
    <border>
      <left style="medium">
        <color auto="1"/>
      </left>
      <right style="hair">
        <color auto="1"/>
      </right>
      <top/>
      <bottom style="double">
        <color indexed="64"/>
      </bottom>
      <diagonal/>
    </border>
    <border>
      <left style="hair">
        <color auto="1"/>
      </left>
      <right style="hair">
        <color auto="1"/>
      </right>
      <top/>
      <bottom style="double">
        <color indexed="64"/>
      </bottom>
      <diagonal/>
    </border>
    <border>
      <left style="hair">
        <color auto="1"/>
      </left>
      <right style="medium">
        <color indexed="64"/>
      </right>
      <top style="hair">
        <color auto="1"/>
      </top>
      <bottom style="double">
        <color indexed="64"/>
      </bottom>
      <diagonal/>
    </border>
    <border>
      <left style="thick">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medium">
        <color auto="1"/>
      </left>
      <right style="hair">
        <color auto="1"/>
      </right>
      <top style="double">
        <color indexed="64"/>
      </top>
      <bottom style="hair">
        <color indexed="64"/>
      </bottom>
      <diagonal/>
    </border>
    <border>
      <left/>
      <right/>
      <top style="double">
        <color indexed="64"/>
      </top>
      <bottom style="hair">
        <color indexed="64"/>
      </bottom>
      <diagonal/>
    </border>
    <border>
      <left style="hair">
        <color indexed="64"/>
      </left>
      <right style="medium">
        <color auto="1"/>
      </right>
      <top style="double">
        <color indexed="64"/>
      </top>
      <bottom style="hair">
        <color indexed="64"/>
      </bottom>
      <diagonal/>
    </border>
    <border>
      <left style="thick">
        <color indexed="64"/>
      </left>
      <right style="thin">
        <color indexed="64"/>
      </right>
      <top style="hair">
        <color indexed="64"/>
      </top>
      <bottom style="thick">
        <color indexed="64"/>
      </bottom>
      <diagonal/>
    </border>
    <border>
      <left style="thin">
        <color auto="1"/>
      </left>
      <right style="thin">
        <color auto="1"/>
      </right>
      <top style="hair">
        <color indexed="64"/>
      </top>
      <bottom style="thick">
        <color indexed="64"/>
      </bottom>
      <diagonal/>
    </border>
    <border>
      <left style="medium">
        <color auto="1"/>
      </left>
      <right style="hair">
        <color auto="1"/>
      </right>
      <top style="hair">
        <color indexed="64"/>
      </top>
      <bottom style="thick">
        <color indexed="64"/>
      </bottom>
      <diagonal/>
    </border>
    <border>
      <left/>
      <right/>
      <top style="hair">
        <color indexed="64"/>
      </top>
      <bottom style="thick">
        <color indexed="64"/>
      </bottom>
      <diagonal/>
    </border>
    <border>
      <left style="hair">
        <color indexed="64"/>
      </left>
      <right style="medium">
        <color auto="1"/>
      </right>
      <top style="hair">
        <color indexed="64"/>
      </top>
      <bottom style="thick">
        <color indexed="64"/>
      </bottom>
      <diagonal/>
    </border>
    <border>
      <left style="double">
        <color indexed="64"/>
      </left>
      <right style="thin">
        <color indexed="64"/>
      </right>
      <top style="hair">
        <color auto="1"/>
      </top>
      <bottom/>
      <diagonal/>
    </border>
    <border>
      <left style="thin">
        <color indexed="64"/>
      </left>
      <right style="hair">
        <color indexed="64"/>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auto="1"/>
      </left>
      <right style="thin">
        <color auto="1"/>
      </right>
      <top style="thin">
        <color auto="1"/>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ck">
        <color indexed="64"/>
      </left>
      <right style="hair">
        <color indexed="64"/>
      </right>
      <top style="thin">
        <color indexed="64"/>
      </top>
      <bottom style="double">
        <color indexed="64"/>
      </bottom>
      <diagonal/>
    </border>
    <border>
      <left style="hair">
        <color indexed="64"/>
      </left>
      <right style="thick">
        <color indexed="64"/>
      </right>
      <top style="thin">
        <color indexed="64"/>
      </top>
      <bottom style="double">
        <color indexed="64"/>
      </bottom>
      <diagonal/>
    </border>
  </borders>
  <cellStyleXfs count="108">
    <xf numFmtId="0" fontId="0" fillId="0" borderId="0">
      <alignment vertical="center"/>
    </xf>
    <xf numFmtId="0" fontId="4" fillId="0" borderId="0">
      <alignment vertical="center"/>
    </xf>
    <xf numFmtId="0" fontId="20" fillId="0" borderId="0">
      <alignment vertical="center"/>
    </xf>
    <xf numFmtId="0" fontId="21" fillId="0" borderId="0"/>
    <xf numFmtId="0" fontId="21" fillId="0" borderId="0"/>
    <xf numFmtId="0" fontId="22" fillId="0" borderId="0"/>
    <xf numFmtId="0" fontId="22" fillId="0" borderId="0"/>
    <xf numFmtId="0" fontId="23" fillId="0" borderId="0"/>
    <xf numFmtId="0" fontId="23" fillId="0" borderId="0"/>
    <xf numFmtId="0" fontId="22" fillId="0" borderId="0"/>
    <xf numFmtId="0" fontId="23" fillId="0" borderId="0"/>
    <xf numFmtId="0" fontId="22" fillId="0" borderId="0"/>
    <xf numFmtId="0" fontId="22" fillId="0" borderId="0"/>
    <xf numFmtId="0" fontId="21" fillId="0" borderId="0"/>
    <xf numFmtId="0" fontId="21" fillId="0" borderId="0"/>
    <xf numFmtId="0" fontId="21" fillId="0" borderId="0"/>
    <xf numFmtId="0" fontId="24" fillId="0" borderId="0" applyNumberFormat="0" applyFill="0" applyBorder="0" applyAlignment="0" applyProtection="0"/>
    <xf numFmtId="0" fontId="24" fillId="0" borderId="0" applyNumberFormat="0" applyFill="0" applyBorder="0" applyAlignment="0" applyProtection="0"/>
    <xf numFmtId="178" fontId="25" fillId="0" borderId="0" applyFont="0" applyFill="0" applyBorder="0" applyAlignment="0" applyProtection="0"/>
    <xf numFmtId="179" fontId="25" fillId="0" borderId="0" applyFont="0" applyFill="0" applyBorder="0" applyAlignment="0" applyProtection="0"/>
    <xf numFmtId="0" fontId="26" fillId="0" borderId="0" applyNumberFormat="0" applyFill="0" applyBorder="0" applyAlignment="0" applyProtection="0">
      <alignment vertical="top"/>
      <protection locked="0"/>
    </xf>
    <xf numFmtId="0" fontId="21" fillId="0" borderId="0"/>
    <xf numFmtId="0" fontId="24" fillId="0" borderId="0">
      <alignment vertical="center"/>
    </xf>
    <xf numFmtId="0" fontId="28" fillId="0" borderId="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0" fillId="26" borderId="0" applyNumberFormat="0" applyBorder="0" applyAlignment="0" applyProtection="0">
      <alignment vertical="center"/>
    </xf>
    <xf numFmtId="0" fontId="31" fillId="0" borderId="0" applyNumberFormat="0" applyFill="0" applyBorder="0" applyAlignment="0" applyProtection="0">
      <alignment vertical="center"/>
    </xf>
    <xf numFmtId="0" fontId="32" fillId="27" borderId="86" applyNumberFormat="0" applyAlignment="0" applyProtection="0">
      <alignment vertical="center"/>
    </xf>
    <xf numFmtId="0" fontId="33" fillId="28" borderId="0" applyNumberFormat="0" applyBorder="0" applyAlignment="0" applyProtection="0">
      <alignment vertical="center"/>
    </xf>
    <xf numFmtId="0" fontId="29" fillId="29" borderId="87" applyNumberFormat="0" applyFont="0" applyAlignment="0" applyProtection="0">
      <alignment vertical="center"/>
    </xf>
    <xf numFmtId="0" fontId="29" fillId="29" borderId="87" applyNumberFormat="0" applyFont="0" applyAlignment="0" applyProtection="0">
      <alignment vertical="center"/>
    </xf>
    <xf numFmtId="0" fontId="24" fillId="29" borderId="87" applyNumberFormat="0" applyFont="0" applyAlignment="0" applyProtection="0">
      <alignment vertical="center"/>
    </xf>
    <xf numFmtId="0" fontId="24" fillId="29" borderId="87" applyNumberFormat="0" applyFont="0" applyAlignment="0" applyProtection="0">
      <alignment vertical="center"/>
    </xf>
    <xf numFmtId="0" fontId="24" fillId="29" borderId="87" applyNumberFormat="0" applyFont="0" applyAlignment="0" applyProtection="0">
      <alignment vertical="center"/>
    </xf>
    <xf numFmtId="0" fontId="34" fillId="0" borderId="88" applyNumberFormat="0" applyFill="0" applyAlignment="0" applyProtection="0">
      <alignment vertical="center"/>
    </xf>
    <xf numFmtId="0" fontId="35" fillId="10" borderId="0" applyNumberFormat="0" applyBorder="0" applyAlignment="0" applyProtection="0">
      <alignment vertical="center"/>
    </xf>
    <xf numFmtId="0" fontId="36" fillId="30" borderId="89" applyNumberFormat="0" applyAlignment="0" applyProtection="0">
      <alignment vertical="center"/>
    </xf>
    <xf numFmtId="0" fontId="36" fillId="30" borderId="89" applyNumberFormat="0" applyAlignment="0" applyProtection="0">
      <alignment vertical="center"/>
    </xf>
    <xf numFmtId="0" fontId="36" fillId="30" borderId="89" applyNumberFormat="0" applyAlignment="0" applyProtection="0">
      <alignment vertical="center"/>
    </xf>
    <xf numFmtId="0" fontId="37" fillId="0" borderId="0" applyNumberFormat="0" applyFill="0" applyBorder="0" applyAlignment="0" applyProtection="0">
      <alignment vertical="center"/>
    </xf>
    <xf numFmtId="0" fontId="38" fillId="0" borderId="90" applyNumberFormat="0" applyFill="0" applyAlignment="0" applyProtection="0">
      <alignment vertical="center"/>
    </xf>
    <xf numFmtId="0" fontId="39" fillId="0" borderId="91" applyNumberFormat="0" applyFill="0" applyAlignment="0" applyProtection="0">
      <alignment vertical="center"/>
    </xf>
    <xf numFmtId="0" fontId="40" fillId="0" borderId="92" applyNumberFormat="0" applyFill="0" applyAlignment="0" applyProtection="0">
      <alignment vertical="center"/>
    </xf>
    <xf numFmtId="0" fontId="40" fillId="0" borderId="0" applyNumberFormat="0" applyFill="0" applyBorder="0" applyAlignment="0" applyProtection="0">
      <alignment vertical="center"/>
    </xf>
    <xf numFmtId="0" fontId="41" fillId="0" borderId="93" applyNumberFormat="0" applyFill="0" applyAlignment="0" applyProtection="0">
      <alignment vertical="center"/>
    </xf>
    <xf numFmtId="0" fontId="41" fillId="0" borderId="93" applyNumberFormat="0" applyFill="0" applyAlignment="0" applyProtection="0">
      <alignment vertical="center"/>
    </xf>
    <xf numFmtId="0" fontId="41" fillId="0" borderId="93" applyNumberFormat="0" applyFill="0" applyAlignment="0" applyProtection="0">
      <alignment vertical="center"/>
    </xf>
    <xf numFmtId="0" fontId="42" fillId="30" borderId="94" applyNumberFormat="0" applyAlignment="0" applyProtection="0">
      <alignment vertical="center"/>
    </xf>
    <xf numFmtId="0" fontId="42" fillId="30" borderId="94" applyNumberFormat="0" applyAlignment="0" applyProtection="0">
      <alignment vertical="center"/>
    </xf>
    <xf numFmtId="0" fontId="42" fillId="30" borderId="94" applyNumberFormat="0" applyAlignment="0" applyProtection="0">
      <alignment vertical="center"/>
    </xf>
    <xf numFmtId="0" fontId="43" fillId="0" borderId="0" applyNumberFormat="0" applyFill="0" applyBorder="0" applyAlignment="0" applyProtection="0">
      <alignment vertical="center"/>
    </xf>
    <xf numFmtId="0" fontId="44" fillId="14" borderId="89" applyNumberFormat="0" applyAlignment="0" applyProtection="0">
      <alignment vertical="center"/>
    </xf>
    <xf numFmtId="0" fontId="44" fillId="14" borderId="89" applyNumberFormat="0" applyAlignment="0" applyProtection="0">
      <alignment vertical="center"/>
    </xf>
    <xf numFmtId="0" fontId="44" fillId="14" borderId="89" applyNumberFormat="0" applyAlignment="0" applyProtection="0">
      <alignment vertical="center"/>
    </xf>
    <xf numFmtId="0" fontId="24" fillId="0" borderId="0"/>
    <xf numFmtId="0" fontId="29" fillId="0" borderId="0">
      <alignment vertical="center"/>
    </xf>
    <xf numFmtId="0" fontId="24" fillId="0" borderId="0"/>
    <xf numFmtId="0" fontId="24" fillId="0" borderId="0">
      <alignment vertical="center"/>
    </xf>
    <xf numFmtId="0" fontId="45" fillId="11" borderId="0" applyNumberFormat="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42" fillId="30" borderId="130" applyNumberFormat="0" applyAlignment="0" applyProtection="0">
      <alignment vertical="center"/>
    </xf>
    <xf numFmtId="0" fontId="42" fillId="30" borderId="130" applyNumberFormat="0" applyAlignment="0" applyProtection="0">
      <alignment vertical="center"/>
    </xf>
    <xf numFmtId="0" fontId="42" fillId="30" borderId="130" applyNumberFormat="0" applyAlignment="0" applyProtection="0">
      <alignment vertical="center"/>
    </xf>
    <xf numFmtId="0" fontId="41" fillId="0" borderId="129" applyNumberFormat="0" applyFill="0" applyAlignment="0" applyProtection="0">
      <alignment vertical="center"/>
    </xf>
    <xf numFmtId="0" fontId="41" fillId="0" borderId="129" applyNumberFormat="0" applyFill="0" applyAlignment="0" applyProtection="0">
      <alignment vertical="center"/>
    </xf>
    <xf numFmtId="0" fontId="41" fillId="0" borderId="129" applyNumberFormat="0" applyFill="0" applyAlignment="0" applyProtection="0">
      <alignment vertical="center"/>
    </xf>
    <xf numFmtId="0" fontId="36" fillId="30" borderId="128" applyNumberFormat="0" applyAlignment="0" applyProtection="0">
      <alignment vertical="center"/>
    </xf>
    <xf numFmtId="0" fontId="36" fillId="30" borderId="128" applyNumberFormat="0" applyAlignment="0" applyProtection="0">
      <alignment vertical="center"/>
    </xf>
    <xf numFmtId="41" fontId="25" fillId="0" borderId="0" applyFont="0" applyFill="0" applyBorder="0" applyAlignment="0" applyProtection="0"/>
    <xf numFmtId="0" fontId="36" fillId="30" borderId="128" applyNumberFormat="0" applyAlignment="0" applyProtection="0">
      <alignment vertical="center"/>
    </xf>
    <xf numFmtId="0" fontId="24" fillId="29" borderId="127" applyNumberFormat="0" applyFont="0" applyAlignment="0" applyProtection="0">
      <alignment vertical="center"/>
    </xf>
    <xf numFmtId="0" fontId="24" fillId="29" borderId="127" applyNumberFormat="0" applyFont="0" applyAlignment="0" applyProtection="0">
      <alignment vertical="center"/>
    </xf>
    <xf numFmtId="0" fontId="24" fillId="29" borderId="127" applyNumberFormat="0" applyFont="0" applyAlignment="0" applyProtection="0">
      <alignment vertical="center"/>
    </xf>
    <xf numFmtId="0" fontId="29" fillId="29" borderId="127" applyNumberFormat="0" applyFont="0" applyAlignment="0" applyProtection="0">
      <alignment vertical="center"/>
    </xf>
    <xf numFmtId="0" fontId="29" fillId="29" borderId="127"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4" fillId="14" borderId="128" applyNumberFormat="0" applyAlignment="0" applyProtection="0">
      <alignment vertical="center"/>
    </xf>
    <xf numFmtId="0" fontId="44" fillId="14" borderId="128" applyNumberFormat="0" applyAlignment="0" applyProtection="0">
      <alignment vertical="center"/>
    </xf>
    <xf numFmtId="0" fontId="44" fillId="14" borderId="128" applyNumberFormat="0" applyAlignment="0" applyProtection="0">
      <alignment vertical="center"/>
    </xf>
  </cellStyleXfs>
  <cellXfs count="385">
    <xf numFmtId="0" fontId="0" fillId="0" borderId="0" xfId="0">
      <alignment vertical="center"/>
    </xf>
    <xf numFmtId="49" fontId="8" fillId="0" borderId="0" xfId="0" applyNumberFormat="1" applyFont="1" applyProtection="1">
      <alignment vertical="center"/>
      <protection locked="0"/>
    </xf>
    <xf numFmtId="49" fontId="11" fillId="0" borderId="0" xfId="0" applyNumberFormat="1" applyFont="1" applyAlignment="1" applyProtection="1">
      <alignment horizontal="left"/>
      <protection locked="0"/>
    </xf>
    <xf numFmtId="49" fontId="12" fillId="0" borderId="0" xfId="0" applyNumberFormat="1" applyFont="1" applyProtection="1">
      <alignment vertical="center"/>
      <protection locked="0"/>
    </xf>
    <xf numFmtId="49" fontId="11" fillId="0" borderId="1" xfId="0" applyNumberFormat="1" applyFont="1" applyBorder="1" applyAlignment="1" applyProtection="1">
      <alignment horizontal="centerContinuous" vertical="center"/>
      <protection locked="0"/>
    </xf>
    <xf numFmtId="49" fontId="11" fillId="0" borderId="2" xfId="0" applyNumberFormat="1" applyFont="1" applyBorder="1" applyAlignment="1" applyProtection="1">
      <alignment horizontal="centerContinuous" vertical="center"/>
      <protection locked="0"/>
    </xf>
    <xf numFmtId="49" fontId="11" fillId="0" borderId="3" xfId="0" applyNumberFormat="1" applyFont="1" applyBorder="1" applyAlignment="1" applyProtection="1">
      <alignment horizontal="centerContinuous" vertical="center"/>
      <protection locked="0"/>
    </xf>
    <xf numFmtId="49" fontId="11" fillId="0" borderId="4" xfId="0" applyNumberFormat="1" applyFont="1" applyBorder="1" applyAlignment="1" applyProtection="1">
      <alignment horizontal="centerContinuous" vertical="center"/>
      <protection locked="0"/>
    </xf>
    <xf numFmtId="49" fontId="11" fillId="0" borderId="5" xfId="0" applyNumberFormat="1" applyFont="1" applyBorder="1" applyAlignment="1" applyProtection="1">
      <alignment horizontal="centerContinuous" vertical="center"/>
      <protection locked="0"/>
    </xf>
    <xf numFmtId="49" fontId="11" fillId="0" borderId="6" xfId="0" applyNumberFormat="1" applyFont="1" applyBorder="1" applyAlignment="1" applyProtection="1">
      <alignment horizontal="centerContinuous" vertical="center"/>
      <protection locked="0"/>
    </xf>
    <xf numFmtId="49" fontId="11" fillId="0" borderId="6" xfId="0" applyNumberFormat="1" applyFont="1" applyBorder="1" applyAlignment="1" applyProtection="1">
      <alignment horizontal="left" vertical="center"/>
      <protection locked="0"/>
    </xf>
    <xf numFmtId="49" fontId="11" fillId="0" borderId="7" xfId="0" applyNumberFormat="1" applyFont="1" applyBorder="1" applyAlignment="1" applyProtection="1">
      <alignment horizontal="centerContinuous" vertical="center"/>
      <protection locked="0"/>
    </xf>
    <xf numFmtId="49" fontId="11" fillId="0" borderId="8" xfId="0" applyNumberFormat="1" applyFont="1" applyBorder="1" applyAlignment="1" applyProtection="1">
      <alignment horizontal="centerContinuous" vertical="center"/>
      <protection locked="0"/>
    </xf>
    <xf numFmtId="49" fontId="11" fillId="0" borderId="9" xfId="0" applyNumberFormat="1" applyFont="1" applyBorder="1" applyAlignment="1" applyProtection="1">
      <alignment horizontal="centerContinuous" vertical="center"/>
      <protection locked="0"/>
    </xf>
    <xf numFmtId="49" fontId="11" fillId="0" borderId="10" xfId="0" applyNumberFormat="1" applyFont="1" applyBorder="1" applyAlignment="1" applyProtection="1">
      <alignment horizontal="centerContinuous" vertical="center"/>
      <protection locked="0"/>
    </xf>
    <xf numFmtId="49" fontId="11" fillId="0" borderId="11" xfId="0" applyNumberFormat="1" applyFont="1" applyBorder="1" applyAlignment="1" applyProtection="1">
      <alignment horizontal="centerContinuous" vertical="center"/>
      <protection locked="0"/>
    </xf>
    <xf numFmtId="49" fontId="11" fillId="0" borderId="11" xfId="0" applyNumberFormat="1" applyFont="1" applyBorder="1" applyAlignment="1" applyProtection="1">
      <alignment horizontal="left" vertical="center"/>
      <protection locked="0"/>
    </xf>
    <xf numFmtId="49" fontId="11" fillId="0" borderId="12" xfId="0" applyNumberFormat="1" applyFont="1" applyBorder="1" applyAlignment="1" applyProtection="1">
      <alignment horizontal="centerContinuous" vertical="center"/>
      <protection locked="0"/>
    </xf>
    <xf numFmtId="0" fontId="7" fillId="0" borderId="0" xfId="0" applyFont="1">
      <alignment vertical="center"/>
    </xf>
    <xf numFmtId="0" fontId="0" fillId="3" borderId="21" xfId="0" applyFill="1" applyBorder="1" applyAlignment="1">
      <alignment horizontal="center" vertical="center"/>
    </xf>
    <xf numFmtId="0" fontId="0" fillId="0" borderId="29" xfId="0" applyBorder="1">
      <alignment vertical="center"/>
    </xf>
    <xf numFmtId="0" fontId="0" fillId="0" borderId="28" xfId="0" applyBorder="1">
      <alignment vertical="center"/>
    </xf>
    <xf numFmtId="0" fontId="0" fillId="0" borderId="43" xfId="0" applyBorder="1">
      <alignment vertical="center"/>
    </xf>
    <xf numFmtId="0" fontId="0" fillId="0" borderId="44" xfId="0" applyBorder="1">
      <alignment vertical="center"/>
    </xf>
    <xf numFmtId="0" fontId="0" fillId="3" borderId="22" xfId="0" applyFill="1" applyBorder="1" applyAlignment="1">
      <alignment horizontal="center" vertical="center"/>
    </xf>
    <xf numFmtId="0" fontId="0" fillId="0" borderId="26" xfId="0" applyBorder="1">
      <alignment vertical="center"/>
    </xf>
    <xf numFmtId="0" fontId="0" fillId="0" borderId="42" xfId="0" applyBorder="1">
      <alignment vertical="center"/>
    </xf>
    <xf numFmtId="0" fontId="0" fillId="0" borderId="31" xfId="0" applyBorder="1">
      <alignment vertical="center"/>
    </xf>
    <xf numFmtId="0" fontId="0" fillId="0" borderId="45" xfId="0" applyBorder="1">
      <alignment vertical="center"/>
    </xf>
    <xf numFmtId="0" fontId="0" fillId="0" borderId="27" xfId="0" applyBorder="1">
      <alignment vertical="center"/>
    </xf>
    <xf numFmtId="0" fontId="0" fillId="0" borderId="46" xfId="0" applyBorder="1">
      <alignment vertical="center"/>
    </xf>
    <xf numFmtId="0" fontId="0" fillId="0" borderId="47" xfId="0" applyBorder="1">
      <alignment vertical="center"/>
    </xf>
    <xf numFmtId="0" fontId="0" fillId="0" borderId="0" xfId="0" applyAlignment="1">
      <alignment horizontal="left" vertical="center" indent="1"/>
    </xf>
    <xf numFmtId="0" fontId="0" fillId="0" borderId="2" xfId="0" applyBorder="1">
      <alignment vertical="center"/>
    </xf>
    <xf numFmtId="0" fontId="0" fillId="0" borderId="6" xfId="0" applyBorder="1">
      <alignment vertical="center"/>
    </xf>
    <xf numFmtId="0" fontId="0" fillId="0" borderId="11" xfId="0" applyBorder="1">
      <alignment vertical="center"/>
    </xf>
    <xf numFmtId="0" fontId="16" fillId="0" borderId="0" xfId="0" applyFont="1">
      <alignment vertical="center"/>
    </xf>
    <xf numFmtId="0" fontId="17" fillId="0" borderId="21" xfId="0" applyFont="1" applyBorder="1" applyProtection="1">
      <alignment vertical="center"/>
      <protection locked="0"/>
    </xf>
    <xf numFmtId="0" fontId="17" fillId="0" borderId="0" xfId="0" applyFont="1">
      <alignment vertical="center"/>
    </xf>
    <xf numFmtId="177" fontId="17" fillId="0" borderId="0" xfId="0" applyNumberFormat="1" applyFont="1">
      <alignment vertical="center"/>
    </xf>
    <xf numFmtId="0" fontId="17" fillId="0" borderId="0" xfId="0" applyFont="1" applyAlignment="1">
      <alignment vertical="center" wrapText="1"/>
    </xf>
    <xf numFmtId="0" fontId="17" fillId="0" borderId="0" xfId="0" applyFont="1" applyAlignment="1">
      <alignment horizontal="center" vertical="center"/>
    </xf>
    <xf numFmtId="177" fontId="17" fillId="0" borderId="0" xfId="0" applyNumberFormat="1" applyFont="1" applyAlignment="1">
      <alignment horizontal="center" vertical="center"/>
    </xf>
    <xf numFmtId="14" fontId="17" fillId="0" borderId="0" xfId="0" applyNumberFormat="1" applyFont="1">
      <alignment vertical="center"/>
    </xf>
    <xf numFmtId="177" fontId="17" fillId="0" borderId="0" xfId="0" applyNumberFormat="1" applyFont="1" applyAlignment="1">
      <alignment vertical="center" wrapText="1"/>
    </xf>
    <xf numFmtId="14" fontId="17" fillId="0" borderId="0" xfId="0" applyNumberFormat="1" applyFont="1" applyAlignment="1">
      <alignment vertical="center" wrapText="1"/>
    </xf>
    <xf numFmtId="0" fontId="16" fillId="0" borderId="0" xfId="0" applyFont="1" applyAlignment="1">
      <alignment vertical="center" wrapText="1"/>
    </xf>
    <xf numFmtId="0" fontId="19" fillId="0" borderId="0" xfId="0" applyFont="1">
      <alignment vertical="center"/>
    </xf>
    <xf numFmtId="177" fontId="7" fillId="0" borderId="0" xfId="0" applyNumberFormat="1" applyFont="1">
      <alignment vertical="center"/>
    </xf>
    <xf numFmtId="177" fontId="7" fillId="0" borderId="0" xfId="0" applyNumberFormat="1" applyFont="1" applyAlignment="1">
      <alignment vertical="center" wrapText="1"/>
    </xf>
    <xf numFmtId="0" fontId="7" fillId="0" borderId="0" xfId="0" applyFont="1" applyAlignment="1">
      <alignment horizontal="center" vertical="center"/>
    </xf>
    <xf numFmtId="0" fontId="19" fillId="0" borderId="0" xfId="0" applyFont="1" applyAlignment="1">
      <alignment vertical="center" wrapText="1"/>
    </xf>
    <xf numFmtId="0" fontId="7" fillId="0" borderId="0" xfId="0" applyFont="1" applyAlignment="1">
      <alignment vertical="center" wrapText="1"/>
    </xf>
    <xf numFmtId="0" fontId="8" fillId="7" borderId="0" xfId="0" applyFont="1" applyFill="1">
      <alignment vertical="center"/>
    </xf>
    <xf numFmtId="0" fontId="8" fillId="0" borderId="0" xfId="0" applyFont="1">
      <alignment vertical="center"/>
    </xf>
    <xf numFmtId="0" fontId="8" fillId="8" borderId="54" xfId="0" applyFont="1" applyFill="1" applyBorder="1" applyAlignment="1">
      <alignment horizontal="center" vertical="center"/>
    </xf>
    <xf numFmtId="0" fontId="8" fillId="8" borderId="54" xfId="0" applyFont="1" applyFill="1" applyBorder="1" applyAlignment="1">
      <alignment horizontal="center" vertical="center" wrapText="1"/>
    </xf>
    <xf numFmtId="0" fontId="8" fillId="8" borderId="27" xfId="0" applyFont="1" applyFill="1" applyBorder="1" applyAlignment="1">
      <alignment horizontal="center" vertical="center"/>
    </xf>
    <xf numFmtId="0" fontId="8" fillId="8" borderId="27" xfId="0" applyFont="1" applyFill="1" applyBorder="1" applyAlignment="1">
      <alignment horizontal="center" vertical="center" wrapText="1"/>
    </xf>
    <xf numFmtId="0" fontId="8" fillId="8" borderId="55" xfId="0" applyFont="1" applyFill="1" applyBorder="1" applyAlignment="1">
      <alignment horizontal="center" vertical="center"/>
    </xf>
    <xf numFmtId="0" fontId="8" fillId="0" borderId="57" xfId="0" applyFont="1" applyBorder="1" applyAlignment="1" applyProtection="1">
      <alignment horizontal="center" vertical="center"/>
      <protection locked="0"/>
    </xf>
    <xf numFmtId="0" fontId="27" fillId="0" borderId="0" xfId="0" applyFont="1">
      <alignment vertical="center"/>
    </xf>
    <xf numFmtId="0" fontId="8" fillId="0" borderId="27" xfId="0" applyFont="1" applyBorder="1" applyAlignment="1" applyProtection="1">
      <alignment horizontal="center" vertical="center"/>
      <protection locked="0"/>
    </xf>
    <xf numFmtId="0" fontId="8" fillId="0" borderId="59" xfId="0" applyFont="1" applyBorder="1" applyAlignment="1" applyProtection="1">
      <alignment horizontal="center" vertical="center"/>
      <protection locked="0"/>
    </xf>
    <xf numFmtId="0" fontId="27" fillId="7" borderId="0" xfId="0" applyFont="1" applyFill="1">
      <alignment vertical="center"/>
    </xf>
    <xf numFmtId="0" fontId="11" fillId="0" borderId="3" xfId="0" applyFont="1" applyBorder="1" applyProtection="1">
      <alignment vertical="center"/>
      <protection locked="0"/>
    </xf>
    <xf numFmtId="0" fontId="11" fillId="0" borderId="56" xfId="0" applyFont="1" applyBorder="1" applyAlignment="1" applyProtection="1">
      <alignment vertical="center" wrapText="1"/>
      <protection locked="0"/>
    </xf>
    <xf numFmtId="0" fontId="11" fillId="0" borderId="58" xfId="0" applyFont="1" applyBorder="1" applyProtection="1">
      <alignment vertical="center"/>
      <protection locked="0"/>
    </xf>
    <xf numFmtId="0" fontId="8" fillId="8" borderId="61" xfId="0" applyFont="1" applyFill="1" applyBorder="1" applyAlignment="1">
      <alignment horizontal="center" vertical="center" wrapText="1"/>
    </xf>
    <xf numFmtId="0" fontId="8" fillId="8" borderId="63" xfId="0" applyFont="1" applyFill="1" applyBorder="1" applyAlignment="1">
      <alignment horizontal="center" vertical="center" wrapText="1"/>
    </xf>
    <xf numFmtId="0" fontId="8" fillId="0" borderId="65" xfId="0" applyFont="1" applyBorder="1" applyAlignment="1" applyProtection="1">
      <alignment horizontal="center" vertical="center"/>
      <protection locked="0"/>
    </xf>
    <xf numFmtId="0" fontId="8" fillId="0" borderId="66" xfId="0" applyFont="1" applyBorder="1" applyAlignment="1" applyProtection="1">
      <alignment horizontal="center" vertical="center"/>
      <protection locked="0"/>
    </xf>
    <xf numFmtId="0" fontId="8" fillId="0" borderId="63" xfId="0" applyFont="1" applyBorder="1" applyAlignment="1" applyProtection="1">
      <alignment horizontal="center" vertical="center"/>
      <protection locked="0"/>
    </xf>
    <xf numFmtId="0" fontId="8" fillId="0" borderId="64" xfId="0" applyFont="1" applyBorder="1" applyAlignment="1" applyProtection="1">
      <alignment horizontal="center" vertical="center"/>
      <protection locked="0"/>
    </xf>
    <xf numFmtId="0" fontId="8" fillId="0" borderId="67" xfId="0" applyFont="1" applyBorder="1" applyAlignment="1" applyProtection="1">
      <alignment horizontal="center" vertical="center"/>
      <protection locked="0"/>
    </xf>
    <xf numFmtId="0" fontId="8" fillId="0" borderId="68" xfId="0" applyFont="1" applyBorder="1" applyAlignment="1" applyProtection="1">
      <alignment horizontal="center" vertical="center"/>
      <protection locked="0"/>
    </xf>
    <xf numFmtId="0" fontId="11" fillId="0" borderId="69" xfId="0" applyFont="1" applyBorder="1" applyProtection="1">
      <alignment vertical="center"/>
      <protection locked="0"/>
    </xf>
    <xf numFmtId="0" fontId="8" fillId="8" borderId="70" xfId="0" applyFont="1" applyFill="1" applyBorder="1" applyAlignment="1">
      <alignment horizontal="center" vertical="center" wrapText="1"/>
    </xf>
    <xf numFmtId="0" fontId="8" fillId="8" borderId="71" xfId="0" applyFont="1" applyFill="1" applyBorder="1" applyAlignment="1">
      <alignment horizontal="center" vertical="center"/>
    </xf>
    <xf numFmtId="0" fontId="8" fillId="8" borderId="71" xfId="0" applyFont="1" applyFill="1" applyBorder="1" applyAlignment="1">
      <alignment horizontal="center" vertical="center" wrapText="1"/>
    </xf>
    <xf numFmtId="0" fontId="8" fillId="8" borderId="73" xfId="0" applyFont="1" applyFill="1" applyBorder="1" applyAlignment="1">
      <alignment horizontal="center" vertical="center"/>
    </xf>
    <xf numFmtId="0" fontId="8" fillId="8" borderId="77" xfId="0" applyFont="1" applyFill="1" applyBorder="1" applyAlignment="1">
      <alignment horizontal="center" vertical="center"/>
    </xf>
    <xf numFmtId="0" fontId="11" fillId="0" borderId="28" xfId="0" applyFont="1" applyBorder="1" applyProtection="1">
      <alignment vertical="center"/>
      <protection locked="0"/>
    </xf>
    <xf numFmtId="0" fontId="11" fillId="0" borderId="78" xfId="0" applyFont="1" applyBorder="1" applyProtection="1">
      <alignment vertical="center"/>
      <protection locked="0"/>
    </xf>
    <xf numFmtId="0" fontId="8" fillId="0" borderId="79" xfId="0" applyFont="1" applyBorder="1" applyAlignment="1" applyProtection="1">
      <alignment vertical="center" wrapText="1"/>
      <protection locked="0"/>
    </xf>
    <xf numFmtId="0" fontId="8" fillId="0" borderId="28" xfId="0" applyFont="1" applyBorder="1" applyProtection="1">
      <alignment vertical="center"/>
      <protection locked="0"/>
    </xf>
    <xf numFmtId="0" fontId="8" fillId="0" borderId="80" xfId="0" applyFont="1" applyBorder="1" applyProtection="1">
      <alignment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8" fillId="2" borderId="75" xfId="0" applyFont="1" applyFill="1" applyBorder="1" applyAlignment="1">
      <alignment horizontal="center" vertical="center"/>
    </xf>
    <xf numFmtId="0" fontId="8" fillId="2" borderId="76" xfId="0" applyFont="1" applyFill="1" applyBorder="1" applyAlignment="1">
      <alignment horizontal="center" vertical="center"/>
    </xf>
    <xf numFmtId="0" fontId="7" fillId="3" borderId="96" xfId="0" applyFont="1" applyFill="1" applyBorder="1" applyAlignment="1">
      <alignment horizontal="left" vertical="center"/>
    </xf>
    <xf numFmtId="0" fontId="7" fillId="3" borderId="60" xfId="0" applyFont="1" applyFill="1" applyBorder="1" applyAlignment="1">
      <alignment horizontal="center" vertical="center"/>
    </xf>
    <xf numFmtId="0" fontId="7" fillId="3" borderId="97" xfId="0" applyFont="1" applyFill="1" applyBorder="1" applyAlignment="1">
      <alignment horizontal="center" vertical="center"/>
    </xf>
    <xf numFmtId="177" fontId="7" fillId="3" borderId="97" xfId="0" applyNumberFormat="1" applyFont="1" applyFill="1" applyBorder="1" applyAlignment="1">
      <alignment horizontal="center" vertical="center" wrapText="1"/>
    </xf>
    <xf numFmtId="0" fontId="7" fillId="3" borderId="98" xfId="0" applyFont="1" applyFill="1" applyBorder="1" applyAlignment="1">
      <alignment horizontal="center" vertical="center" wrapText="1"/>
    </xf>
    <xf numFmtId="0" fontId="7" fillId="3" borderId="99" xfId="0" applyFont="1" applyFill="1" applyBorder="1" applyAlignment="1">
      <alignment horizontal="center" vertical="center"/>
    </xf>
    <xf numFmtId="0" fontId="7" fillId="3" borderId="60" xfId="0" applyFont="1" applyFill="1" applyBorder="1" applyAlignment="1" applyProtection="1">
      <alignment horizontal="center" vertical="center" wrapText="1"/>
      <protection locked="0"/>
    </xf>
    <xf numFmtId="0" fontId="7" fillId="3" borderId="97" xfId="0" applyFont="1" applyFill="1" applyBorder="1" applyAlignment="1" applyProtection="1">
      <alignment horizontal="center" vertical="center" wrapText="1"/>
      <protection locked="0"/>
    </xf>
    <xf numFmtId="0" fontId="7" fillId="3" borderId="99" xfId="0" applyFont="1" applyFill="1" applyBorder="1" applyAlignment="1">
      <alignment horizontal="center" vertical="center" wrapText="1"/>
    </xf>
    <xf numFmtId="0" fontId="7" fillId="3" borderId="98" xfId="0" applyFont="1" applyFill="1" applyBorder="1" applyAlignment="1">
      <alignment horizontal="center" vertical="center"/>
    </xf>
    <xf numFmtId="0" fontId="7" fillId="3" borderId="60" xfId="0" applyFont="1" applyFill="1" applyBorder="1" applyAlignment="1">
      <alignment horizontal="center" vertical="center" wrapText="1"/>
    </xf>
    <xf numFmtId="0" fontId="7" fillId="3" borderId="97" xfId="0" applyFont="1" applyFill="1" applyBorder="1" applyAlignment="1">
      <alignment horizontal="center" vertical="center" wrapText="1"/>
    </xf>
    <xf numFmtId="0" fontId="7" fillId="3" borderId="60" xfId="0" applyFont="1" applyFill="1" applyBorder="1" applyAlignment="1" applyProtection="1">
      <alignment horizontal="center" vertical="center"/>
      <protection locked="0"/>
    </xf>
    <xf numFmtId="0" fontId="7" fillId="3" borderId="100" xfId="0" applyFont="1" applyFill="1" applyBorder="1" applyAlignment="1" applyProtection="1">
      <alignment horizontal="center" vertical="center" wrapText="1"/>
      <protection locked="0"/>
    </xf>
    <xf numFmtId="0" fontId="17" fillId="2" borderId="101" xfId="0" applyFont="1" applyFill="1" applyBorder="1">
      <alignment vertical="center"/>
    </xf>
    <xf numFmtId="0" fontId="17" fillId="0" borderId="102" xfId="0" applyFont="1" applyBorder="1" applyProtection="1">
      <alignment vertical="center"/>
      <protection locked="0"/>
    </xf>
    <xf numFmtId="0" fontId="18" fillId="0" borderId="102" xfId="0" applyFont="1" applyBorder="1" applyAlignment="1" applyProtection="1">
      <alignment vertical="center" wrapText="1"/>
      <protection locked="0"/>
    </xf>
    <xf numFmtId="0" fontId="18" fillId="2" borderId="102" xfId="0" applyFont="1" applyFill="1" applyBorder="1" applyAlignment="1">
      <alignment vertical="center" wrapText="1"/>
    </xf>
    <xf numFmtId="177" fontId="18" fillId="2" borderId="1" xfId="0" applyNumberFormat="1" applyFont="1" applyFill="1" applyBorder="1" applyAlignment="1">
      <alignment vertical="center" wrapText="1"/>
    </xf>
    <xf numFmtId="177" fontId="18" fillId="2" borderId="103" xfId="0" applyNumberFormat="1" applyFont="1" applyFill="1" applyBorder="1" applyAlignment="1">
      <alignment vertical="center" wrapText="1"/>
    </xf>
    <xf numFmtId="0" fontId="18" fillId="2" borderId="104" xfId="0" applyFont="1" applyFill="1" applyBorder="1" applyAlignment="1">
      <alignment vertical="center" wrapText="1"/>
    </xf>
    <xf numFmtId="0" fontId="17" fillId="0" borderId="1" xfId="0" applyFont="1" applyBorder="1" applyAlignment="1" applyProtection="1">
      <alignment horizontal="center" vertical="center"/>
      <protection locked="0"/>
    </xf>
    <xf numFmtId="0" fontId="18" fillId="0" borderId="104" xfId="0" applyFont="1" applyBorder="1" applyAlignment="1" applyProtection="1">
      <alignment horizontal="center" vertical="center" wrapText="1"/>
      <protection locked="0"/>
    </xf>
    <xf numFmtId="0" fontId="18" fillId="0" borderId="103" xfId="0" applyFont="1" applyBorder="1" applyAlignment="1" applyProtection="1">
      <alignment vertical="center" wrapText="1"/>
      <protection locked="0"/>
    </xf>
    <xf numFmtId="0" fontId="17" fillId="0" borderId="102" xfId="0" applyFont="1" applyBorder="1" applyAlignment="1" applyProtection="1">
      <alignment vertical="center" wrapText="1"/>
      <protection locked="0"/>
    </xf>
    <xf numFmtId="0" fontId="17" fillId="0" borderId="1" xfId="0" applyFont="1" applyBorder="1" applyProtection="1">
      <alignment vertical="center"/>
      <protection locked="0"/>
    </xf>
    <xf numFmtId="177" fontId="17" fillId="0" borderId="104" xfId="0" applyNumberFormat="1" applyFont="1" applyBorder="1" applyAlignment="1" applyProtection="1">
      <alignment horizontal="center" vertical="center"/>
      <protection locked="0"/>
    </xf>
    <xf numFmtId="0" fontId="17" fillId="0" borderId="102" xfId="0" applyFont="1" applyBorder="1" applyAlignment="1" applyProtection="1">
      <alignment horizontal="center" vertical="center"/>
      <protection locked="0"/>
    </xf>
    <xf numFmtId="177" fontId="17" fillId="0" borderId="102" xfId="0" applyNumberFormat="1" applyFont="1" applyBorder="1" applyAlignment="1" applyProtection="1">
      <alignment horizontal="center" vertical="center"/>
      <protection locked="0"/>
    </xf>
    <xf numFmtId="177" fontId="17" fillId="2" borderId="102" xfId="0" applyNumberFormat="1" applyFont="1" applyFill="1" applyBorder="1" applyAlignment="1">
      <alignment horizontal="center" vertical="center"/>
    </xf>
    <xf numFmtId="14" fontId="17" fillId="0" borderId="102" xfId="0" applyNumberFormat="1" applyFont="1" applyBorder="1" applyAlignment="1" applyProtection="1">
      <alignment horizontal="center" vertical="center" wrapText="1"/>
      <protection locked="0"/>
    </xf>
    <xf numFmtId="0" fontId="17" fillId="0" borderId="105" xfId="0" applyFont="1" applyBorder="1" applyAlignment="1" applyProtection="1">
      <alignment vertical="center" wrapText="1"/>
      <protection locked="0"/>
    </xf>
    <xf numFmtId="0" fontId="17" fillId="2" borderId="106" xfId="0" applyFont="1" applyFill="1" applyBorder="1">
      <alignment vertical="center"/>
    </xf>
    <xf numFmtId="0" fontId="17" fillId="0" borderId="26" xfId="0" applyFont="1" applyBorder="1" applyProtection="1">
      <alignment vertical="center"/>
      <protection locked="0"/>
    </xf>
    <xf numFmtId="0" fontId="18" fillId="0" borderId="26" xfId="0" applyFont="1" applyBorder="1" applyAlignment="1" applyProtection="1">
      <alignment vertical="center" wrapText="1"/>
      <protection locked="0"/>
    </xf>
    <xf numFmtId="0" fontId="17" fillId="0" borderId="3" xfId="0" applyFont="1" applyBorder="1" applyAlignment="1" applyProtection="1">
      <alignment horizontal="center" vertical="center"/>
      <protection locked="0"/>
    </xf>
    <xf numFmtId="0" fontId="18" fillId="0" borderId="108" xfId="0" applyFont="1" applyBorder="1" applyAlignment="1" applyProtection="1">
      <alignment horizontal="center" vertical="center" wrapText="1"/>
      <protection locked="0"/>
    </xf>
    <xf numFmtId="0" fontId="18" fillId="0" borderId="107" xfId="0" applyFont="1" applyBorder="1" applyAlignment="1" applyProtection="1">
      <alignment vertical="center" wrapText="1"/>
      <protection locked="0"/>
    </xf>
    <xf numFmtId="0" fontId="17" fillId="2" borderId="107" xfId="0" applyFont="1" applyFill="1" applyBorder="1" applyAlignment="1">
      <alignment horizontal="right" vertical="center"/>
    </xf>
    <xf numFmtId="0" fontId="17" fillId="0" borderId="108" xfId="0" applyFont="1" applyBorder="1" applyProtection="1">
      <alignment vertical="center"/>
      <protection locked="0"/>
    </xf>
    <xf numFmtId="0" fontId="17" fillId="0" borderId="26" xfId="0" applyFont="1" applyBorder="1" applyAlignment="1" applyProtection="1">
      <alignment vertical="center" wrapText="1"/>
      <protection locked="0"/>
    </xf>
    <xf numFmtId="0" fontId="17" fillId="0" borderId="3" xfId="0" applyFont="1" applyBorder="1" applyProtection="1">
      <alignment vertical="center"/>
      <protection locked="0"/>
    </xf>
    <xf numFmtId="177" fontId="17" fillId="0" borderId="108" xfId="0" applyNumberFormat="1" applyFont="1" applyBorder="1" applyAlignment="1" applyProtection="1">
      <alignment horizontal="center" vertical="center"/>
      <protection locked="0"/>
    </xf>
    <xf numFmtId="0" fontId="17" fillId="0" borderId="26" xfId="0" applyFont="1" applyBorder="1" applyAlignment="1" applyProtection="1">
      <alignment horizontal="center" vertical="center"/>
      <protection locked="0"/>
    </xf>
    <xf numFmtId="177" fontId="17" fillId="0" borderId="26" xfId="0" applyNumberFormat="1" applyFont="1" applyBorder="1" applyAlignment="1" applyProtection="1">
      <alignment horizontal="center" vertical="center"/>
      <protection locked="0"/>
    </xf>
    <xf numFmtId="177" fontId="17" fillId="2" borderId="26" xfId="0" applyNumberFormat="1" applyFont="1" applyFill="1" applyBorder="1" applyAlignment="1">
      <alignment horizontal="center" vertical="center"/>
    </xf>
    <xf numFmtId="14" fontId="17" fillId="0" borderId="26" xfId="0" applyNumberFormat="1" applyFont="1" applyBorder="1" applyAlignment="1" applyProtection="1">
      <alignment vertical="center" wrapText="1"/>
      <protection locked="0"/>
    </xf>
    <xf numFmtId="0" fontId="17" fillId="0" borderId="109" xfId="0" applyFont="1" applyBorder="1" applyAlignment="1" applyProtection="1">
      <alignment vertical="center" wrapText="1"/>
      <protection locked="0"/>
    </xf>
    <xf numFmtId="0" fontId="8" fillId="8" borderId="110" xfId="0" applyFont="1" applyFill="1" applyBorder="1" applyAlignment="1">
      <alignment horizontal="center" vertical="center"/>
    </xf>
    <xf numFmtId="0" fontId="8" fillId="8" borderId="111" xfId="0" applyFont="1" applyFill="1" applyBorder="1" applyAlignment="1">
      <alignment horizontal="center" vertical="center"/>
    </xf>
    <xf numFmtId="0" fontId="8" fillId="8" borderId="112" xfId="0" applyFont="1" applyFill="1" applyBorder="1" applyAlignment="1">
      <alignment horizontal="center" vertical="center"/>
    </xf>
    <xf numFmtId="0" fontId="8" fillId="8" borderId="62" xfId="0" applyFont="1" applyFill="1" applyBorder="1" applyAlignment="1">
      <alignment horizontal="center" vertical="center"/>
    </xf>
    <xf numFmtId="0" fontId="8" fillId="8" borderId="64" xfId="0" applyFont="1" applyFill="1" applyBorder="1" applyAlignment="1">
      <alignment horizontal="center" vertical="center"/>
    </xf>
    <xf numFmtId="0" fontId="8" fillId="8" borderId="72" xfId="0" applyFont="1" applyFill="1" applyBorder="1" applyAlignment="1">
      <alignment horizontal="center" vertical="center"/>
    </xf>
    <xf numFmtId="0" fontId="8" fillId="0" borderId="114" xfId="0" applyFont="1" applyBorder="1">
      <alignment vertical="center"/>
    </xf>
    <xf numFmtId="0" fontId="8" fillId="0" borderId="26" xfId="0" applyFont="1" applyBorder="1">
      <alignment vertical="center"/>
    </xf>
    <xf numFmtId="0" fontId="8" fillId="0" borderId="42" xfId="0" applyFont="1" applyBorder="1">
      <alignment vertical="center"/>
    </xf>
    <xf numFmtId="0" fontId="8" fillId="3" borderId="21" xfId="0" applyFont="1" applyFill="1" applyBorder="1" applyAlignment="1">
      <alignment horizontal="center" vertical="center"/>
    </xf>
    <xf numFmtId="0" fontId="8" fillId="3" borderId="114" xfId="0" applyFont="1" applyFill="1" applyBorder="1" applyAlignment="1">
      <alignment horizontal="left" vertical="center"/>
    </xf>
    <xf numFmtId="0" fontId="8" fillId="3" borderId="26" xfId="0" applyFont="1" applyFill="1" applyBorder="1" applyAlignment="1">
      <alignment horizontal="left" vertical="center"/>
    </xf>
    <xf numFmtId="0" fontId="8" fillId="3" borderId="117" xfId="0" applyFont="1" applyFill="1" applyBorder="1" applyAlignment="1">
      <alignment horizontal="center" vertical="center"/>
    </xf>
    <xf numFmtId="0" fontId="8" fillId="0" borderId="26" xfId="0" applyFont="1" applyBorder="1" applyAlignment="1">
      <alignment vertical="center" wrapText="1"/>
    </xf>
    <xf numFmtId="0" fontId="8" fillId="0" borderId="42" xfId="0" applyFont="1" applyBorder="1" applyAlignment="1">
      <alignment vertical="center" wrapText="1"/>
    </xf>
    <xf numFmtId="0" fontId="8" fillId="3" borderId="25" xfId="0" applyFont="1" applyFill="1" applyBorder="1" applyAlignment="1">
      <alignment horizontal="center" vertical="center"/>
    </xf>
    <xf numFmtId="0" fontId="8" fillId="3" borderId="24" xfId="0" applyFont="1" applyFill="1" applyBorder="1" applyAlignment="1">
      <alignment horizontal="center" vertical="center"/>
    </xf>
    <xf numFmtId="0" fontId="8" fillId="0" borderId="29" xfId="0" applyFont="1" applyBorder="1">
      <alignment vertical="center"/>
    </xf>
    <xf numFmtId="0" fontId="8" fillId="0" borderId="43" xfId="0" applyFont="1" applyBorder="1">
      <alignment vertical="center"/>
    </xf>
    <xf numFmtId="0" fontId="8" fillId="0" borderId="29" xfId="0" applyFont="1" applyBorder="1" applyAlignment="1">
      <alignment vertical="center" wrapText="1"/>
    </xf>
    <xf numFmtId="0" fontId="8" fillId="0" borderId="118" xfId="0" applyFont="1" applyBorder="1">
      <alignment vertical="center"/>
    </xf>
    <xf numFmtId="0" fontId="8" fillId="0" borderId="118" xfId="0" applyFont="1" applyBorder="1" applyAlignment="1">
      <alignment vertical="center" wrapText="1"/>
    </xf>
    <xf numFmtId="0" fontId="8" fillId="0" borderId="119" xfId="0" applyFont="1" applyBorder="1" applyAlignment="1">
      <alignment vertical="center" wrapText="1"/>
    </xf>
    <xf numFmtId="0" fontId="8" fillId="0" borderId="119" xfId="0" applyFont="1" applyBorder="1">
      <alignment vertical="center"/>
    </xf>
    <xf numFmtId="0" fontId="8" fillId="0" borderId="43" xfId="0" applyFont="1" applyBorder="1" applyAlignment="1">
      <alignment vertical="center" wrapText="1"/>
    </xf>
    <xf numFmtId="0" fontId="8" fillId="3" borderId="21" xfId="0" applyFont="1" applyFill="1" applyBorder="1">
      <alignment vertical="center"/>
    </xf>
    <xf numFmtId="0" fontId="7" fillId="5" borderId="21" xfId="0" applyFont="1" applyFill="1" applyBorder="1">
      <alignment vertical="center"/>
    </xf>
    <xf numFmtId="0" fontId="7" fillId="31" borderId="21" xfId="0" applyFont="1" applyFill="1" applyBorder="1">
      <alignment vertical="center"/>
    </xf>
    <xf numFmtId="0" fontId="7" fillId="5" borderId="21" xfId="0" applyFont="1" applyFill="1" applyBorder="1" applyAlignment="1">
      <alignment vertical="center" wrapText="1"/>
    </xf>
    <xf numFmtId="0" fontId="7" fillId="0" borderId="21" xfId="0" applyFont="1" applyBorder="1">
      <alignment vertical="center"/>
    </xf>
    <xf numFmtId="177" fontId="7" fillId="6" borderId="21" xfId="0" applyNumberFormat="1" applyFont="1" applyFill="1" applyBorder="1" applyAlignment="1">
      <alignment horizontal="center" vertical="center"/>
    </xf>
    <xf numFmtId="177" fontId="7" fillId="5" borderId="21" xfId="0" applyNumberFormat="1" applyFont="1" applyFill="1" applyBorder="1" applyAlignment="1">
      <alignment horizontal="center" vertical="center"/>
    </xf>
    <xf numFmtId="0" fontId="7" fillId="0" borderId="120" xfId="0" applyFont="1" applyBorder="1" applyAlignment="1">
      <alignment horizontal="center" vertical="center"/>
    </xf>
    <xf numFmtId="0" fontId="7" fillId="0" borderId="120" xfId="0" applyFont="1" applyBorder="1" applyAlignment="1">
      <alignment horizontal="center" vertical="center" wrapText="1"/>
    </xf>
    <xf numFmtId="180" fontId="17" fillId="0" borderId="21" xfId="0" applyNumberFormat="1" applyFont="1" applyBorder="1">
      <alignment vertical="center"/>
    </xf>
    <xf numFmtId="181" fontId="17" fillId="2" borderId="21" xfId="0" applyNumberFormat="1" applyFont="1" applyFill="1" applyBorder="1">
      <alignment vertical="center"/>
    </xf>
    <xf numFmtId="0" fontId="16" fillId="0" borderId="126" xfId="0" applyFont="1" applyBorder="1">
      <alignment vertical="center"/>
    </xf>
    <xf numFmtId="0" fontId="18" fillId="0" borderId="102" xfId="0" applyFont="1" applyBorder="1" applyAlignment="1">
      <alignment horizontal="center" vertical="center" wrapText="1"/>
    </xf>
    <xf numFmtId="22" fontId="7" fillId="0" borderId="0" xfId="0" applyNumberFormat="1" applyFont="1">
      <alignment vertical="center"/>
    </xf>
    <xf numFmtId="14" fontId="8" fillId="0" borderId="28" xfId="0" applyNumberFormat="1" applyFont="1" applyBorder="1">
      <alignment vertical="center"/>
    </xf>
    <xf numFmtId="0" fontId="0" fillId="0" borderId="114" xfId="0" applyBorder="1">
      <alignment vertical="center"/>
    </xf>
    <xf numFmtId="14" fontId="8" fillId="0" borderId="44" xfId="0" applyNumberFormat="1" applyFont="1" applyBorder="1">
      <alignment vertical="center"/>
    </xf>
    <xf numFmtId="14" fontId="8" fillId="0" borderId="78" xfId="0" applyNumberFormat="1" applyFont="1" applyBorder="1">
      <alignment vertical="center"/>
    </xf>
    <xf numFmtId="0" fontId="46" fillId="0" borderId="0" xfId="0" applyFont="1">
      <alignment vertical="center"/>
    </xf>
    <xf numFmtId="0" fontId="46" fillId="0" borderId="113" xfId="0" applyFont="1" applyBorder="1">
      <alignment vertical="center"/>
    </xf>
    <xf numFmtId="0" fontId="46" fillId="0" borderId="85" xfId="0" applyFont="1" applyBorder="1">
      <alignment vertical="center"/>
    </xf>
    <xf numFmtId="0" fontId="46" fillId="0" borderId="116" xfId="0" applyFont="1" applyBorder="1">
      <alignment vertical="center"/>
    </xf>
    <xf numFmtId="0" fontId="46" fillId="0" borderId="3" xfId="0" applyFont="1" applyBorder="1">
      <alignment vertical="center"/>
    </xf>
    <xf numFmtId="0" fontId="46" fillId="0" borderId="4" xfId="0" applyFont="1" applyBorder="1">
      <alignment vertical="center"/>
    </xf>
    <xf numFmtId="0" fontId="46" fillId="0" borderId="7" xfId="0" applyFont="1" applyBorder="1">
      <alignment vertical="center"/>
    </xf>
    <xf numFmtId="0" fontId="46" fillId="0" borderId="35" xfId="0" applyFont="1" applyBorder="1">
      <alignment vertical="center"/>
    </xf>
    <xf numFmtId="0" fontId="46" fillId="2" borderId="116" xfId="0" applyFont="1" applyFill="1" applyBorder="1">
      <alignment vertical="center"/>
    </xf>
    <xf numFmtId="0" fontId="46" fillId="2" borderId="113" xfId="0" applyFont="1" applyFill="1" applyBorder="1">
      <alignment vertical="center"/>
    </xf>
    <xf numFmtId="49" fontId="46" fillId="0" borderId="49" xfId="0" applyNumberFormat="1" applyFont="1" applyBorder="1">
      <alignment vertical="center"/>
    </xf>
    <xf numFmtId="49" fontId="46" fillId="0" borderId="35" xfId="0" applyNumberFormat="1" applyFont="1" applyBorder="1">
      <alignment vertical="center"/>
    </xf>
    <xf numFmtId="49" fontId="46" fillId="0" borderId="3" xfId="0" applyNumberFormat="1" applyFont="1" applyBorder="1">
      <alignment vertical="center"/>
    </xf>
    <xf numFmtId="0" fontId="46" fillId="32" borderId="34" xfId="0" applyFont="1" applyFill="1" applyBorder="1">
      <alignment vertical="center"/>
    </xf>
    <xf numFmtId="49" fontId="46" fillId="32" borderId="26" xfId="0" applyNumberFormat="1" applyFont="1" applyFill="1" applyBorder="1">
      <alignment vertical="center"/>
    </xf>
    <xf numFmtId="0" fontId="46" fillId="32" borderId="26" xfId="0" applyFont="1" applyFill="1" applyBorder="1">
      <alignment vertical="center"/>
    </xf>
    <xf numFmtId="49" fontId="46" fillId="32" borderId="16" xfId="0" applyNumberFormat="1" applyFont="1" applyFill="1" applyBorder="1">
      <alignment vertical="center"/>
    </xf>
    <xf numFmtId="0" fontId="8" fillId="0" borderId="131" xfId="0" applyFont="1" applyBorder="1">
      <alignment vertical="center"/>
    </xf>
    <xf numFmtId="14" fontId="8" fillId="0" borderId="132" xfId="0" applyNumberFormat="1" applyFont="1" applyBorder="1">
      <alignment vertical="center"/>
    </xf>
    <xf numFmtId="0" fontId="47" fillId="0" borderId="0" xfId="0" applyFont="1">
      <alignment vertical="center"/>
    </xf>
    <xf numFmtId="0" fontId="48" fillId="0" borderId="0" xfId="0" applyFont="1">
      <alignment vertical="center"/>
    </xf>
    <xf numFmtId="0" fontId="49" fillId="0" borderId="0" xfId="0" applyFont="1">
      <alignment vertical="center"/>
    </xf>
    <xf numFmtId="49" fontId="50" fillId="33" borderId="138" xfId="0" applyNumberFormat="1" applyFont="1" applyFill="1" applyBorder="1" applyAlignment="1">
      <alignment horizontal="left" vertical="center" wrapText="1"/>
    </xf>
    <xf numFmtId="0" fontId="51" fillId="0" borderId="0" xfId="0" applyFont="1" applyAlignment="1"/>
    <xf numFmtId="49" fontId="51" fillId="0" borderId="138" xfId="0" applyNumberFormat="1" applyFont="1" applyBorder="1">
      <alignment vertical="center"/>
    </xf>
    <xf numFmtId="1" fontId="51" fillId="0" borderId="138" xfId="0" applyNumberFormat="1" applyFont="1" applyBorder="1" applyAlignment="1">
      <alignment horizontal="right" vertical="center"/>
    </xf>
    <xf numFmtId="182" fontId="51" fillId="0" borderId="138" xfId="0" applyNumberFormat="1" applyFont="1" applyBorder="1" applyAlignment="1">
      <alignment horizontal="right" vertical="center"/>
    </xf>
    <xf numFmtId="49" fontId="51" fillId="34" borderId="138" xfId="0" applyNumberFormat="1" applyFont="1" applyFill="1" applyBorder="1">
      <alignment vertical="center"/>
    </xf>
    <xf numFmtId="1" fontId="51" fillId="34" borderId="138" xfId="0" applyNumberFormat="1" applyFont="1" applyFill="1" applyBorder="1" applyAlignment="1">
      <alignment horizontal="right" vertical="center"/>
    </xf>
    <xf numFmtId="182" fontId="51" fillId="34" borderId="138" xfId="0" applyNumberFormat="1" applyFont="1" applyFill="1" applyBorder="1" applyAlignment="1">
      <alignment horizontal="right" vertical="center"/>
    </xf>
    <xf numFmtId="0" fontId="48" fillId="0" borderId="0" xfId="0" applyFont="1" applyAlignment="1"/>
    <xf numFmtId="49" fontId="52" fillId="35" borderId="138" xfId="0" applyNumberFormat="1" applyFont="1" applyFill="1" applyBorder="1" applyAlignment="1">
      <alignment horizontal="left" vertical="center" wrapText="1"/>
    </xf>
    <xf numFmtId="49" fontId="0" fillId="0" borderId="138" xfId="0" applyNumberFormat="1" applyBorder="1">
      <alignment vertical="center"/>
    </xf>
    <xf numFmtId="1" fontId="0" fillId="0" borderId="138" xfId="0" applyNumberFormat="1" applyBorder="1" applyAlignment="1">
      <alignment horizontal="right" vertical="center"/>
    </xf>
    <xf numFmtId="0" fontId="53" fillId="0" borderId="138" xfId="0" applyFont="1" applyBorder="1">
      <alignment vertical="center"/>
    </xf>
    <xf numFmtId="182" fontId="0" fillId="0" borderId="138" xfId="0" applyNumberFormat="1" applyBorder="1" applyAlignment="1">
      <alignment horizontal="right" vertical="center"/>
    </xf>
    <xf numFmtId="49" fontId="0" fillId="34" borderId="138" xfId="0" applyNumberFormat="1" applyFill="1" applyBorder="1">
      <alignment vertical="center"/>
    </xf>
    <xf numFmtId="1" fontId="0" fillId="34" borderId="138" xfId="0" applyNumberFormat="1" applyFill="1" applyBorder="1" applyAlignment="1">
      <alignment horizontal="right" vertical="center"/>
    </xf>
    <xf numFmtId="0" fontId="53" fillId="34" borderId="138" xfId="0" applyFont="1" applyFill="1" applyBorder="1">
      <alignment vertical="center"/>
    </xf>
    <xf numFmtId="182" fontId="0" fillId="34" borderId="138" xfId="0" applyNumberFormat="1" applyFill="1" applyBorder="1" applyAlignment="1">
      <alignment horizontal="right" vertical="center"/>
    </xf>
    <xf numFmtId="0" fontId="0" fillId="0" borderId="117" xfId="0" applyBorder="1">
      <alignment vertical="center"/>
    </xf>
    <xf numFmtId="0" fontId="0" fillId="0" borderId="0" xfId="0" applyAlignment="1"/>
    <xf numFmtId="0" fontId="17" fillId="0" borderId="118" xfId="0" applyFont="1" applyBorder="1" applyAlignment="1" applyProtection="1">
      <alignment vertical="center" wrapText="1"/>
      <protection locked="0"/>
    </xf>
    <xf numFmtId="0" fontId="18" fillId="0" borderId="118" xfId="0" applyFont="1" applyBorder="1" applyAlignment="1" applyProtection="1">
      <alignment vertical="center" wrapText="1"/>
      <protection locked="0"/>
    </xf>
    <xf numFmtId="0" fontId="8" fillId="8" borderId="141" xfId="0" applyFont="1" applyFill="1" applyBorder="1" applyAlignment="1">
      <alignment horizontal="center" vertical="center" wrapText="1"/>
    </xf>
    <xf numFmtId="0" fontId="8" fillId="8" borderId="142" xfId="0" applyFont="1" applyFill="1" applyBorder="1" applyAlignment="1">
      <alignment horizontal="center" vertical="center"/>
    </xf>
    <xf numFmtId="0" fontId="8" fillId="8" borderId="143" xfId="0" applyFont="1" applyFill="1" applyBorder="1" applyAlignment="1">
      <alignment horizontal="center" vertical="center"/>
    </xf>
    <xf numFmtId="0" fontId="8" fillId="8" borderId="146" xfId="0" applyFont="1" applyFill="1" applyBorder="1" applyAlignment="1">
      <alignment horizontal="center" vertical="center" wrapText="1"/>
    </xf>
    <xf numFmtId="0" fontId="8" fillId="0" borderId="147" xfId="0" applyFont="1" applyBorder="1" applyProtection="1">
      <alignment vertical="center"/>
      <protection locked="0"/>
    </xf>
    <xf numFmtId="0" fontId="8" fillId="0" borderId="56" xfId="0" applyFont="1" applyBorder="1" applyAlignment="1" applyProtection="1">
      <alignment vertical="center" wrapText="1"/>
      <protection locked="0"/>
    </xf>
    <xf numFmtId="0" fontId="11" fillId="0" borderId="148" xfId="0" applyFont="1" applyBorder="1" applyAlignment="1" applyProtection="1">
      <alignment vertical="center" wrapText="1"/>
      <protection locked="0"/>
    </xf>
    <xf numFmtId="0" fontId="11" fillId="2" borderId="56" xfId="0" applyFont="1" applyFill="1" applyBorder="1">
      <alignment vertical="center"/>
    </xf>
    <xf numFmtId="0" fontId="8" fillId="0" borderId="149" xfId="0" applyFont="1" applyBorder="1" applyAlignment="1" applyProtection="1">
      <alignment horizontal="center" vertical="center"/>
      <protection locked="0"/>
    </xf>
    <xf numFmtId="0" fontId="8" fillId="0" borderId="150" xfId="0" applyFont="1" applyBorder="1" applyAlignment="1" applyProtection="1">
      <alignment horizontal="center" vertical="center"/>
      <protection locked="0"/>
    </xf>
    <xf numFmtId="0" fontId="8" fillId="0" borderId="151" xfId="0" applyFont="1" applyBorder="1" applyAlignment="1" applyProtection="1">
      <alignment horizontal="center" vertical="center"/>
      <protection locked="0"/>
    </xf>
    <xf numFmtId="0" fontId="8" fillId="0" borderId="152" xfId="0" applyFont="1" applyBorder="1" applyProtection="1">
      <alignment vertical="center"/>
      <protection locked="0"/>
    </xf>
    <xf numFmtId="0" fontId="8" fillId="0" borderId="58" xfId="0" applyFont="1" applyBorder="1" applyProtection="1">
      <alignment vertical="center"/>
      <protection locked="0"/>
    </xf>
    <xf numFmtId="0" fontId="11" fillId="0" borderId="153" xfId="0" applyFont="1" applyBorder="1" applyProtection="1">
      <alignment vertical="center"/>
      <protection locked="0"/>
    </xf>
    <xf numFmtId="0" fontId="11" fillId="2" borderId="58" xfId="0" applyFont="1" applyFill="1" applyBorder="1">
      <alignment vertical="center"/>
    </xf>
    <xf numFmtId="0" fontId="8" fillId="0" borderId="154" xfId="0" applyFont="1" applyBorder="1" applyAlignment="1" applyProtection="1">
      <alignment horizontal="center" vertical="center"/>
      <protection locked="0"/>
    </xf>
    <xf numFmtId="0" fontId="8" fillId="0" borderId="155" xfId="0" applyFont="1" applyBorder="1" applyAlignment="1" applyProtection="1">
      <alignment horizontal="center" vertical="center"/>
      <protection locked="0"/>
    </xf>
    <xf numFmtId="0" fontId="8" fillId="0" borderId="156" xfId="0" applyFont="1" applyBorder="1" applyAlignment="1" applyProtection="1">
      <alignment horizontal="center" vertical="center"/>
      <protection locked="0"/>
    </xf>
    <xf numFmtId="0" fontId="17" fillId="0" borderId="16" xfId="0" applyFont="1" applyBorder="1" applyProtection="1">
      <alignment vertical="center"/>
      <protection locked="0"/>
    </xf>
    <xf numFmtId="0" fontId="17" fillId="0" borderId="157" xfId="0" applyFont="1" applyBorder="1" applyProtection="1">
      <alignment vertical="center"/>
      <protection locked="0"/>
    </xf>
    <xf numFmtId="0" fontId="0" fillId="37" borderId="0" xfId="0" applyFill="1">
      <alignment vertical="center"/>
    </xf>
    <xf numFmtId="0" fontId="0" fillId="36" borderId="22" xfId="0" applyFill="1" applyBorder="1">
      <alignment vertical="center"/>
    </xf>
    <xf numFmtId="0" fontId="0" fillId="36" borderId="115" xfId="0" applyFill="1" applyBorder="1">
      <alignment vertical="center"/>
    </xf>
    <xf numFmtId="0" fontId="0" fillId="36" borderId="117" xfId="0" applyFill="1" applyBorder="1">
      <alignment vertical="center"/>
    </xf>
    <xf numFmtId="0" fontId="0" fillId="0" borderId="21" xfId="0" applyBorder="1">
      <alignment vertical="center"/>
    </xf>
    <xf numFmtId="0" fontId="0" fillId="0" borderId="115" xfId="0" applyBorder="1">
      <alignment vertical="center"/>
    </xf>
    <xf numFmtId="0" fontId="54" fillId="0" borderId="0" xfId="0" applyFont="1">
      <alignment vertical="center"/>
    </xf>
    <xf numFmtId="49" fontId="13" fillId="0" borderId="158" xfId="0" applyNumberFormat="1" applyFont="1" applyBorder="1" applyAlignment="1" applyProtection="1">
      <alignment horizontal="centerContinuous" vertical="center"/>
      <protection locked="0"/>
    </xf>
    <xf numFmtId="49" fontId="13" fillId="0" borderId="159" xfId="0" applyNumberFormat="1" applyFont="1" applyBorder="1" applyAlignment="1" applyProtection="1">
      <alignment horizontal="centerContinuous" vertical="center"/>
      <protection locked="0"/>
    </xf>
    <xf numFmtId="49" fontId="13" fillId="0" borderId="160" xfId="0" applyNumberFormat="1" applyFont="1" applyBorder="1" applyAlignment="1" applyProtection="1">
      <alignment horizontal="centerContinuous" vertical="center"/>
      <protection locked="0"/>
    </xf>
    <xf numFmtId="49" fontId="13" fillId="0" borderId="161" xfId="0" applyNumberFormat="1" applyFont="1" applyBorder="1" applyAlignment="1" applyProtection="1">
      <alignment horizontal="centerContinuous" vertical="center"/>
      <protection locked="0"/>
    </xf>
    <xf numFmtId="0" fontId="17" fillId="0" borderId="21" xfId="0" applyFont="1" applyBorder="1">
      <alignment vertical="center"/>
    </xf>
    <xf numFmtId="0" fontId="46" fillId="2" borderId="22" xfId="0" applyFont="1" applyFill="1" applyBorder="1">
      <alignment vertical="center"/>
    </xf>
    <xf numFmtId="0" fontId="8" fillId="8" borderId="168" xfId="0" applyFont="1" applyFill="1" applyBorder="1" applyAlignment="1">
      <alignment horizontal="center" vertical="center"/>
    </xf>
    <xf numFmtId="0" fontId="8" fillId="8" borderId="161" xfId="0" applyFont="1" applyFill="1" applyBorder="1" applyAlignment="1">
      <alignment horizontal="center" vertical="center"/>
    </xf>
    <xf numFmtId="0" fontId="8" fillId="8" borderId="164" xfId="0" applyFont="1" applyFill="1" applyBorder="1" applyAlignment="1">
      <alignment horizontal="center" vertical="center"/>
    </xf>
    <xf numFmtId="177" fontId="7" fillId="2" borderId="21" xfId="0" applyNumberFormat="1" applyFont="1" applyFill="1" applyBorder="1" applyAlignment="1">
      <alignment horizontal="center" vertical="center"/>
    </xf>
    <xf numFmtId="177" fontId="17" fillId="0" borderId="21" xfId="0" applyNumberFormat="1" applyFont="1" applyBorder="1" applyAlignment="1">
      <alignment horizontal="center" vertical="center"/>
    </xf>
    <xf numFmtId="0" fontId="15" fillId="4" borderId="21" xfId="0" applyFont="1" applyFill="1" applyBorder="1" applyProtection="1">
      <alignment vertical="center"/>
      <protection locked="0"/>
    </xf>
    <xf numFmtId="176" fontId="7" fillId="4" borderId="21" xfId="0" applyNumberFormat="1" applyFont="1" applyFill="1" applyBorder="1" applyProtection="1">
      <alignment vertical="center"/>
      <protection locked="0"/>
    </xf>
    <xf numFmtId="0" fontId="7" fillId="6" borderId="21" xfId="0" applyFont="1" applyFill="1" applyBorder="1">
      <alignment vertical="center"/>
    </xf>
    <xf numFmtId="0" fontId="7" fillId="3" borderId="34"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7" fillId="3" borderId="50"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16" xfId="0" applyFont="1" applyFill="1" applyBorder="1" applyAlignment="1">
      <alignment horizontal="center" vertical="center"/>
    </xf>
    <xf numFmtId="0" fontId="7" fillId="3" borderId="50" xfId="0" applyFont="1" applyFill="1" applyBorder="1" applyAlignment="1">
      <alignment horizontal="center" vertical="center"/>
    </xf>
    <xf numFmtId="0" fontId="7" fillId="3" borderId="41" xfId="0" applyFont="1" applyFill="1" applyBorder="1" applyAlignment="1">
      <alignment horizontal="center" vertical="center" wrapText="1"/>
    </xf>
    <xf numFmtId="0" fontId="7" fillId="3" borderId="32" xfId="0" applyFont="1" applyFill="1" applyBorder="1" applyAlignment="1">
      <alignment horizontal="center" vertical="center"/>
    </xf>
    <xf numFmtId="0" fontId="7" fillId="3" borderId="165" xfId="0" applyFont="1" applyFill="1" applyBorder="1" applyAlignment="1">
      <alignment horizontal="center" vertical="center"/>
    </xf>
    <xf numFmtId="0" fontId="7" fillId="3" borderId="19"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52"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53" xfId="0" applyFont="1" applyFill="1" applyBorder="1" applyAlignment="1">
      <alignment horizontal="center" vertical="center" wrapText="1"/>
    </xf>
    <xf numFmtId="0" fontId="7" fillId="3" borderId="18" xfId="0" applyFont="1" applyFill="1" applyBorder="1" applyAlignment="1" applyProtection="1">
      <alignment horizontal="center" vertical="center" wrapText="1"/>
      <protection locked="0"/>
    </xf>
    <xf numFmtId="0" fontId="7" fillId="3" borderId="16" xfId="0" applyFont="1" applyFill="1" applyBorder="1" applyAlignment="1" applyProtection="1">
      <alignment horizontal="center" vertical="center" wrapText="1"/>
      <protection locked="0"/>
    </xf>
    <xf numFmtId="0" fontId="7" fillId="3" borderId="50" xfId="0" applyFont="1" applyFill="1" applyBorder="1" applyAlignment="1" applyProtection="1">
      <alignment horizontal="center" vertical="center" wrapText="1"/>
      <protection locked="0"/>
    </xf>
    <xf numFmtId="0" fontId="7" fillId="3" borderId="17" xfId="0" applyFont="1" applyFill="1" applyBorder="1" applyAlignment="1">
      <alignment horizontal="center" vertical="center"/>
    </xf>
    <xf numFmtId="0" fontId="7" fillId="3" borderId="53" xfId="0" applyFont="1" applyFill="1" applyBorder="1" applyAlignment="1">
      <alignment horizontal="center" vertical="center"/>
    </xf>
    <xf numFmtId="177" fontId="7" fillId="3" borderId="18" xfId="0" applyNumberFormat="1" applyFont="1" applyFill="1" applyBorder="1" applyAlignment="1">
      <alignment horizontal="center" vertical="center" wrapText="1"/>
    </xf>
    <xf numFmtId="177" fontId="7" fillId="3" borderId="16" xfId="0" applyNumberFormat="1" applyFont="1" applyFill="1" applyBorder="1" applyAlignment="1">
      <alignment horizontal="center" vertical="center" wrapText="1"/>
    </xf>
    <xf numFmtId="177" fontId="7" fillId="3" borderId="50" xfId="0" applyNumberFormat="1" applyFont="1" applyFill="1" applyBorder="1" applyAlignment="1">
      <alignment horizontal="center" vertical="center" wrapText="1"/>
    </xf>
    <xf numFmtId="0" fontId="7" fillId="3" borderId="40" xfId="0" applyFont="1" applyFill="1" applyBorder="1" applyAlignment="1" applyProtection="1">
      <alignment horizontal="center" vertical="center" wrapText="1"/>
      <protection locked="0"/>
    </xf>
    <xf numFmtId="0" fontId="7" fillId="3" borderId="22" xfId="0" applyFont="1" applyFill="1" applyBorder="1" applyAlignment="1" applyProtection="1">
      <alignment horizontal="center" vertical="center" wrapText="1"/>
      <protection locked="0"/>
    </xf>
    <xf numFmtId="0" fontId="7" fillId="3" borderId="164" xfId="0" applyFont="1" applyFill="1" applyBorder="1" applyAlignment="1" applyProtection="1">
      <alignment horizontal="center" vertical="center" wrapText="1"/>
      <protection locked="0"/>
    </xf>
    <xf numFmtId="0" fontId="17" fillId="3" borderId="21" xfId="0" applyFont="1" applyFill="1" applyBorder="1" applyAlignment="1">
      <alignment horizontal="center" vertical="center"/>
    </xf>
    <xf numFmtId="0" fontId="7" fillId="3" borderId="39" xfId="0" applyFont="1" applyFill="1" applyBorder="1" applyAlignment="1">
      <alignment horizontal="center" vertical="center" wrapText="1"/>
    </xf>
    <xf numFmtId="0" fontId="7" fillId="3" borderId="35" xfId="0" applyFont="1" applyFill="1" applyBorder="1" applyAlignment="1">
      <alignment horizontal="center" vertical="center"/>
    </xf>
    <xf numFmtId="0" fontId="7" fillId="3" borderId="51" xfId="0" applyFont="1" applyFill="1" applyBorder="1" applyAlignment="1">
      <alignment horizontal="center" vertical="center"/>
    </xf>
    <xf numFmtId="0" fontId="7" fillId="3" borderId="3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62" xfId="0" applyFont="1" applyFill="1" applyBorder="1" applyAlignment="1">
      <alignment horizontal="center" vertical="center"/>
    </xf>
    <xf numFmtId="0" fontId="7" fillId="3" borderId="38" xfId="0" applyFont="1" applyFill="1" applyBorder="1" applyAlignment="1">
      <alignment horizontal="center" vertical="center" wrapText="1"/>
    </xf>
    <xf numFmtId="0" fontId="7" fillId="3" borderId="21" xfId="0" applyFont="1" applyFill="1" applyBorder="1" applyAlignment="1">
      <alignment horizontal="center" vertical="center"/>
    </xf>
    <xf numFmtId="0" fontId="7" fillId="3" borderId="163" xfId="0" applyFont="1" applyFill="1" applyBorder="1" applyAlignment="1">
      <alignment horizontal="center" vertical="center"/>
    </xf>
    <xf numFmtId="0" fontId="7" fillId="3" borderId="49"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7" fillId="3" borderId="51" xfId="0" applyFont="1" applyFill="1" applyBorder="1" applyAlignment="1">
      <alignment horizontal="center" vertical="center" wrapText="1"/>
    </xf>
    <xf numFmtId="0" fontId="7" fillId="3" borderId="36" xfId="0" applyFont="1" applyFill="1" applyBorder="1" applyAlignment="1">
      <alignment horizontal="center" vertical="center" wrapText="1"/>
    </xf>
    <xf numFmtId="0" fontId="7" fillId="3" borderId="124" xfId="0" applyFont="1" applyFill="1" applyBorder="1" applyAlignment="1">
      <alignment horizontal="center" vertical="center"/>
    </xf>
    <xf numFmtId="0" fontId="0" fillId="0" borderId="122" xfId="0" applyBorder="1" applyAlignment="1">
      <alignment horizontal="center" vertical="center"/>
    </xf>
    <xf numFmtId="0" fontId="0" fillId="0" borderId="123" xfId="0" applyBorder="1" applyAlignment="1">
      <alignment horizontal="center" vertical="center"/>
    </xf>
    <xf numFmtId="0" fontId="7" fillId="3" borderId="33" xfId="0" applyFont="1" applyFill="1" applyBorder="1" applyAlignment="1">
      <alignment horizontal="center" vertical="center"/>
    </xf>
    <xf numFmtId="0" fontId="7" fillId="3" borderId="166" xfId="0" applyFont="1" applyFill="1" applyBorder="1" applyAlignment="1">
      <alignment horizontal="center" vertical="center"/>
    </xf>
    <xf numFmtId="0" fontId="7" fillId="3" borderId="21" xfId="0" applyFont="1" applyFill="1" applyBorder="1" applyAlignment="1">
      <alignment horizontal="center" vertical="center" wrapText="1"/>
    </xf>
    <xf numFmtId="0" fontId="7" fillId="3" borderId="163" xfId="0" applyFont="1" applyFill="1" applyBorder="1" applyAlignment="1">
      <alignment horizontal="center" vertical="center" wrapText="1"/>
    </xf>
    <xf numFmtId="0" fontId="7" fillId="3" borderId="121" xfId="0" applyFont="1" applyFill="1" applyBorder="1" applyAlignment="1">
      <alignment horizontal="center" vertical="center" wrapText="1"/>
    </xf>
    <xf numFmtId="0" fontId="0" fillId="0" borderId="122" xfId="0" applyBorder="1">
      <alignment vertical="center"/>
    </xf>
    <xf numFmtId="0" fontId="0" fillId="0" borderId="125" xfId="0" applyBorder="1">
      <alignment vertical="center"/>
    </xf>
    <xf numFmtId="0" fontId="7" fillId="3" borderId="21" xfId="0" applyFont="1" applyFill="1" applyBorder="1" applyAlignment="1" applyProtection="1">
      <alignment horizontal="center" vertical="center"/>
      <protection locked="0"/>
    </xf>
    <xf numFmtId="0" fontId="7" fillId="3" borderId="163" xfId="0" applyFont="1" applyFill="1" applyBorder="1" applyAlignment="1" applyProtection="1">
      <alignment horizontal="center" vertical="center"/>
      <protection locked="0"/>
    </xf>
    <xf numFmtId="0" fontId="7" fillId="3" borderId="21" xfId="0" applyFont="1" applyFill="1" applyBorder="1" applyAlignment="1" applyProtection="1">
      <alignment horizontal="center" vertical="center" wrapText="1"/>
      <protection locked="0"/>
    </xf>
    <xf numFmtId="0" fontId="7" fillId="3" borderId="13" xfId="0" applyFont="1" applyFill="1" applyBorder="1" applyAlignment="1" applyProtection="1">
      <alignment horizontal="center" vertical="center" wrapText="1"/>
      <protection locked="0"/>
    </xf>
    <xf numFmtId="0" fontId="7" fillId="3" borderId="167" xfId="0" applyFont="1" applyFill="1" applyBorder="1" applyAlignment="1" applyProtection="1">
      <alignment horizontal="center" vertical="center" wrapText="1"/>
      <protection locked="0"/>
    </xf>
    <xf numFmtId="49" fontId="11" fillId="0" borderId="6" xfId="0" applyNumberFormat="1" applyFont="1" applyBorder="1" applyAlignment="1" applyProtection="1">
      <alignment horizontal="left" vertical="center" wrapText="1"/>
      <protection locked="0"/>
    </xf>
    <xf numFmtId="49" fontId="11" fillId="0" borderId="4" xfId="0" applyNumberFormat="1" applyFont="1" applyBorder="1" applyAlignment="1" applyProtection="1">
      <alignment horizontal="left" vertical="center" wrapText="1"/>
      <protection locked="0"/>
    </xf>
    <xf numFmtId="49" fontId="11" fillId="0" borderId="7" xfId="0" applyNumberFormat="1" applyFont="1" applyBorder="1" applyAlignment="1" applyProtection="1">
      <alignment horizontal="left" vertical="center" wrapText="1"/>
      <protection locked="0"/>
    </xf>
    <xf numFmtId="49" fontId="10" fillId="0" borderId="0" xfId="0" applyNumberFormat="1" applyFont="1" applyAlignment="1" applyProtection="1">
      <alignment horizontal="center" vertical="center"/>
      <protection locked="0"/>
    </xf>
    <xf numFmtId="49" fontId="11" fillId="0" borderId="6" xfId="0" applyNumberFormat="1" applyFont="1" applyBorder="1" applyAlignment="1" applyProtection="1">
      <alignment vertical="center" wrapText="1"/>
      <protection locked="0"/>
    </xf>
    <xf numFmtId="49" fontId="11" fillId="0" borderId="4" xfId="0" applyNumberFormat="1" applyFont="1" applyBorder="1" applyProtection="1">
      <alignment vertical="center"/>
      <protection locked="0"/>
    </xf>
    <xf numFmtId="49" fontId="11" fillId="0" borderId="7" xfId="0" applyNumberFormat="1" applyFont="1" applyBorder="1" applyProtection="1">
      <alignment vertical="center"/>
      <protection locked="0"/>
    </xf>
    <xf numFmtId="49" fontId="11" fillId="0" borderId="6" xfId="0" applyNumberFormat="1" applyFont="1" applyBorder="1" applyAlignment="1" applyProtection="1">
      <alignment horizontal="left" vertical="top" wrapText="1"/>
      <protection locked="0"/>
    </xf>
    <xf numFmtId="49" fontId="11" fillId="0" borderId="4" xfId="0" applyNumberFormat="1" applyFont="1" applyBorder="1" applyAlignment="1" applyProtection="1">
      <alignment horizontal="left" vertical="top"/>
      <protection locked="0"/>
    </xf>
    <xf numFmtId="49" fontId="11" fillId="0" borderId="7" xfId="0" applyNumberFormat="1" applyFont="1" applyBorder="1" applyAlignment="1" applyProtection="1">
      <alignment horizontal="left" vertical="top"/>
      <protection locked="0"/>
    </xf>
    <xf numFmtId="0" fontId="8" fillId="0" borderId="34" xfId="0" applyFont="1" applyBorder="1" applyAlignment="1">
      <alignment horizontal="left" vertical="center" wrapText="1"/>
    </xf>
    <xf numFmtId="0" fontId="8" fillId="0" borderId="16" xfId="0" applyFont="1" applyBorder="1" applyAlignment="1">
      <alignment horizontal="left" vertical="center" wrapText="1"/>
    </xf>
    <xf numFmtId="0" fontId="8" fillId="0" borderId="137" xfId="0" applyFont="1" applyBorder="1" applyAlignment="1">
      <alignment horizontal="left" vertical="center" wrapText="1"/>
    </xf>
    <xf numFmtId="0" fontId="8" fillId="0" borderId="34" xfId="0" applyFont="1" applyBorder="1" applyAlignment="1">
      <alignment horizontal="left" vertical="center"/>
    </xf>
    <xf numFmtId="0" fontId="8" fillId="0" borderId="16" xfId="0" applyFont="1" applyBorder="1" applyAlignment="1">
      <alignment horizontal="left" vertical="center"/>
    </xf>
    <xf numFmtId="0" fontId="8" fillId="0" borderId="137" xfId="0" applyFont="1" applyBorder="1" applyAlignment="1">
      <alignment horizontal="left" vertical="center"/>
    </xf>
    <xf numFmtId="0" fontId="8" fillId="3" borderId="22" xfId="0" applyFont="1" applyFill="1" applyBorder="1" applyAlignment="1">
      <alignment horizontal="left" vertical="center"/>
    </xf>
    <xf numFmtId="0" fontId="8" fillId="3" borderId="115" xfId="0" applyFont="1" applyFill="1" applyBorder="1" applyAlignment="1">
      <alignment horizontal="left" vertical="center"/>
    </xf>
    <xf numFmtId="0" fontId="8" fillId="3" borderId="117" xfId="0" applyFont="1" applyFill="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2" xfId="0" applyFont="1" applyBorder="1" applyAlignment="1">
      <alignment horizontal="left" vertical="center"/>
    </xf>
    <xf numFmtId="0" fontId="8" fillId="0" borderId="133" xfId="0" applyFont="1" applyBorder="1" applyAlignment="1">
      <alignment horizontal="left" vertical="center"/>
    </xf>
    <xf numFmtId="0" fontId="8" fillId="0" borderId="134" xfId="0" applyFont="1" applyBorder="1" applyAlignment="1">
      <alignment horizontal="left" vertical="center"/>
    </xf>
    <xf numFmtId="0" fontId="8" fillId="0" borderId="135" xfId="0" applyFont="1" applyBorder="1" applyAlignment="1">
      <alignment horizontal="left" vertical="center"/>
    </xf>
    <xf numFmtId="0" fontId="8" fillId="0" borderId="22" xfId="0" applyFont="1" applyBorder="1" applyAlignment="1">
      <alignment horizontal="left" vertical="center"/>
    </xf>
    <xf numFmtId="0" fontId="8" fillId="0" borderId="115" xfId="0" applyFont="1" applyBorder="1" applyAlignment="1">
      <alignment horizontal="left" vertical="center"/>
    </xf>
    <xf numFmtId="0" fontId="8" fillId="0" borderId="117" xfId="0" applyFont="1" applyBorder="1" applyAlignment="1">
      <alignment horizontal="left" vertical="center"/>
    </xf>
    <xf numFmtId="0" fontId="8" fillId="3" borderId="49" xfId="0" applyFont="1" applyFill="1" applyBorder="1" applyAlignment="1">
      <alignment horizontal="left" vertical="center"/>
    </xf>
    <xf numFmtId="0" fontId="8" fillId="3" borderId="116" xfId="0" applyFont="1" applyFill="1" applyBorder="1" applyAlignment="1">
      <alignment horizontal="left" vertical="center"/>
    </xf>
    <xf numFmtId="0" fontId="8" fillId="3" borderId="35" xfId="0" applyFont="1" applyFill="1" applyBorder="1" applyAlignment="1">
      <alignment horizontal="left" vertical="center"/>
    </xf>
    <xf numFmtId="0" fontId="8" fillId="3" borderId="85" xfId="0" applyFont="1" applyFill="1" applyBorder="1" applyAlignment="1">
      <alignment horizontal="left" vertical="center"/>
    </xf>
    <xf numFmtId="0" fontId="8" fillId="3" borderId="30" xfId="0" applyFont="1" applyFill="1" applyBorder="1" applyAlignment="1">
      <alignment horizontal="left" vertical="center"/>
    </xf>
    <xf numFmtId="0" fontId="8" fillId="3" borderId="95" xfId="0" applyFont="1" applyFill="1" applyBorder="1" applyAlignment="1">
      <alignment horizontal="left" vertical="center"/>
    </xf>
    <xf numFmtId="0" fontId="8" fillId="3" borderId="113" xfId="0" applyFont="1" applyFill="1" applyBorder="1" applyAlignment="1">
      <alignment horizontal="left" vertical="center"/>
    </xf>
    <xf numFmtId="0" fontId="8" fillId="3" borderId="0" xfId="0" applyFont="1" applyFill="1" applyAlignment="1">
      <alignment horizontal="left" vertical="center"/>
    </xf>
    <xf numFmtId="0" fontId="8" fillId="3" borderId="136" xfId="0" applyFont="1" applyFill="1" applyBorder="1" applyAlignment="1">
      <alignment horizontal="left" vertical="center"/>
    </xf>
    <xf numFmtId="0" fontId="8" fillId="0" borderId="22" xfId="0" applyFont="1" applyBorder="1" applyAlignment="1" applyProtection="1">
      <alignment horizontal="left" vertical="center"/>
      <protection locked="0"/>
    </xf>
    <xf numFmtId="0" fontId="8" fillId="0" borderId="115" xfId="0" applyFont="1" applyBorder="1" applyAlignment="1" applyProtection="1">
      <alignment horizontal="left" vertical="center"/>
      <protection locked="0"/>
    </xf>
    <xf numFmtId="0" fontId="8" fillId="0" borderId="117" xfId="0" applyFont="1" applyBorder="1" applyAlignment="1" applyProtection="1">
      <alignment horizontal="left" vertical="center"/>
      <protection locked="0"/>
    </xf>
    <xf numFmtId="0" fontId="8" fillId="0" borderId="22" xfId="0" applyFont="1" applyBorder="1" applyAlignment="1">
      <alignment horizontal="left" vertical="center" wrapText="1"/>
    </xf>
    <xf numFmtId="0" fontId="8" fillId="0" borderId="114" xfId="0" applyFont="1" applyBorder="1" applyAlignment="1">
      <alignment horizontal="left" vertical="center"/>
    </xf>
    <xf numFmtId="0" fontId="8" fillId="0" borderId="26" xfId="0" applyFont="1" applyBorder="1" applyAlignment="1">
      <alignment horizontal="left" vertical="center"/>
    </xf>
    <xf numFmtId="0" fontId="8" fillId="8" borderId="139" xfId="0" applyFont="1" applyFill="1" applyBorder="1" applyAlignment="1">
      <alignment horizontal="center" vertical="center" wrapText="1"/>
    </xf>
    <xf numFmtId="0" fontId="8" fillId="8" borderId="144" xfId="0" applyFont="1" applyFill="1" applyBorder="1" applyAlignment="1">
      <alignment horizontal="center" vertical="center" wrapText="1"/>
    </xf>
    <xf numFmtId="0" fontId="8" fillId="8" borderId="140" xfId="0" applyFont="1" applyFill="1" applyBorder="1" applyAlignment="1">
      <alignment horizontal="center" vertical="center" wrapText="1"/>
    </xf>
    <xf numFmtId="0" fontId="8" fillId="8" borderId="145" xfId="0" applyFont="1" applyFill="1" applyBorder="1" applyAlignment="1">
      <alignment horizontal="center" vertical="center" wrapText="1"/>
    </xf>
    <xf numFmtId="0" fontId="8" fillId="0" borderId="81" xfId="0" applyFont="1" applyBorder="1" applyAlignment="1" applyProtection="1">
      <alignment horizontal="center" vertical="center" wrapText="1"/>
      <protection locked="0"/>
    </xf>
    <xf numFmtId="0" fontId="8" fillId="0" borderId="82" xfId="0" applyFont="1" applyBorder="1" applyAlignment="1" applyProtection="1">
      <alignment horizontal="center" vertical="center" wrapText="1"/>
      <protection locked="0"/>
    </xf>
    <xf numFmtId="0" fontId="8" fillId="0" borderId="84" xfId="0" applyFont="1" applyBorder="1" applyAlignment="1" applyProtection="1">
      <alignment horizontal="center" vertical="center" wrapText="1"/>
      <protection locked="0"/>
    </xf>
    <xf numFmtId="0" fontId="8" fillId="8" borderId="168" xfId="0" applyFont="1" applyFill="1" applyBorder="1" applyAlignment="1">
      <alignment horizontal="center" vertical="center"/>
    </xf>
    <xf numFmtId="0" fontId="8" fillId="8" borderId="160" xfId="0" applyFont="1" applyFill="1" applyBorder="1" applyAlignment="1">
      <alignment horizontal="center" vertical="center"/>
    </xf>
    <xf numFmtId="0" fontId="8" fillId="8" borderId="169" xfId="0" applyFont="1" applyFill="1" applyBorder="1" applyAlignment="1">
      <alignment horizontal="center" vertical="center"/>
    </xf>
    <xf numFmtId="0" fontId="11" fillId="0" borderId="81" xfId="0" applyFont="1" applyBorder="1" applyAlignment="1" applyProtection="1">
      <alignment horizontal="center" vertical="center"/>
      <protection locked="0"/>
    </xf>
    <xf numFmtId="0" fontId="11" fillId="0" borderId="82" xfId="0" applyFont="1" applyBorder="1" applyAlignment="1" applyProtection="1">
      <alignment horizontal="center" vertical="center"/>
      <protection locked="0"/>
    </xf>
    <xf numFmtId="0" fontId="11" fillId="0" borderId="83" xfId="0" applyFont="1" applyBorder="1" applyAlignment="1" applyProtection="1">
      <alignment horizontal="center" vertical="center"/>
      <protection locked="0"/>
    </xf>
    <xf numFmtId="0" fontId="0" fillId="3" borderId="25" xfId="0" applyFill="1" applyBorder="1" applyAlignment="1">
      <alignment horizontal="center" vertical="center"/>
    </xf>
    <xf numFmtId="0" fontId="0" fillId="3" borderId="23" xfId="0" applyFill="1" applyBorder="1" applyAlignment="1">
      <alignment horizontal="center" vertical="center"/>
    </xf>
    <xf numFmtId="0" fontId="0" fillId="3" borderId="48" xfId="0" applyFill="1" applyBorder="1" applyAlignment="1">
      <alignment horizontal="center" vertical="center"/>
    </xf>
    <xf numFmtId="0" fontId="0" fillId="3" borderId="24" xfId="0" applyFill="1" applyBorder="1" applyAlignment="1">
      <alignment horizontal="center" vertical="center"/>
    </xf>
  </cellXfs>
  <cellStyles count="108">
    <cellStyle name="_【製造注文書】6月工程_埼玉-72_実装図_【福岡-6】　システム構成図　" xfId="3" xr:uid="{00000000-0005-0000-0000-000000000000}"/>
    <cellStyle name="_4512渋谷ITコア（大手町）監視線変更後 (4)_【福岡-6】　システム構成図　" xfId="4" xr:uid="{00000000-0005-0000-0000-000001000000}"/>
    <cellStyle name="_8-1-153先行配線オーダー（東京城東） " xfId="5" xr:uid="{00000000-0005-0000-0000-000002000000}"/>
    <cellStyle name="_8-8-341先行配線オーダー(東京大森) " xfId="6" xr:uid="{00000000-0005-0000-0000-000003000000}"/>
    <cellStyle name="_9-10-130・131先行配線オーダー（盛岡２・北上） " xfId="7" xr:uid="{00000000-0005-0000-0000-000004000000}"/>
    <cellStyle name="_Book2_8-1-153先行配線オーダー（東京城東） " xfId="8" xr:uid="{00000000-0005-0000-0000-000005000000}"/>
    <cellStyle name="_Book2_9-10-130・131先行配線オーダー（盛岡２・北上） " xfId="9" xr:uid="{00000000-0005-0000-0000-000006000000}"/>
    <cellStyle name="_Book2_POI調依頼-兵庫-51 " xfId="10" xr:uid="{00000000-0005-0000-0000-000007000000}"/>
    <cellStyle name="_POI調依頼-兵庫-51 " xfId="11" xr:uid="{00000000-0005-0000-0000-000008000000}"/>
    <cellStyle name="_POI調査一覧　" xfId="12" xr:uid="{00000000-0005-0000-0000-000009000000}"/>
    <cellStyle name="_さいたま新都参考_【福岡-6】　システム構成図　" xfId="13" xr:uid="{00000000-0005-0000-0000-00000A000000}"/>
    <cellStyle name="_宇都宮平出参考_【福岡-6】　システム構成図　" xfId="14" xr:uid="{00000000-0005-0000-0000-00000B000000}"/>
    <cellStyle name="_先行配線オーダー(埼玉)_【福岡-6】　システム構成図　" xfId="15" xr:uid="{00000000-0005-0000-0000-00000C000000}"/>
    <cellStyle name="20% - アクセント 1 2" xfId="24" xr:uid="{00000000-0005-0000-0000-00000D000000}"/>
    <cellStyle name="20% - アクセント 2 2" xfId="25" xr:uid="{00000000-0005-0000-0000-00000E000000}"/>
    <cellStyle name="20% - アクセント 3 2" xfId="26" xr:uid="{00000000-0005-0000-0000-00000F000000}"/>
    <cellStyle name="20% - アクセント 4 2" xfId="27" xr:uid="{00000000-0005-0000-0000-000010000000}"/>
    <cellStyle name="20% - アクセント 5 2" xfId="28" xr:uid="{00000000-0005-0000-0000-000011000000}"/>
    <cellStyle name="20% - アクセント 6 2" xfId="29" xr:uid="{00000000-0005-0000-0000-000012000000}"/>
    <cellStyle name="40% - アクセント 1 2" xfId="30" xr:uid="{00000000-0005-0000-0000-000013000000}"/>
    <cellStyle name="40% - アクセント 2 2" xfId="31" xr:uid="{00000000-0005-0000-0000-000014000000}"/>
    <cellStyle name="40% - アクセント 3 2" xfId="32" xr:uid="{00000000-0005-0000-0000-000015000000}"/>
    <cellStyle name="40% - アクセント 4 2" xfId="33" xr:uid="{00000000-0005-0000-0000-000016000000}"/>
    <cellStyle name="40% - アクセント 5 2" xfId="34" xr:uid="{00000000-0005-0000-0000-000017000000}"/>
    <cellStyle name="40% - アクセント 6 2" xfId="35" xr:uid="{00000000-0005-0000-0000-000018000000}"/>
    <cellStyle name="60% - アクセント 1 2" xfId="36" xr:uid="{00000000-0005-0000-0000-000019000000}"/>
    <cellStyle name="60% - アクセント 2 2" xfId="37" xr:uid="{00000000-0005-0000-0000-00001A000000}"/>
    <cellStyle name="60% - アクセント 3 2" xfId="38" xr:uid="{00000000-0005-0000-0000-00001B000000}"/>
    <cellStyle name="60% - アクセント 4 2" xfId="39" xr:uid="{00000000-0005-0000-0000-00001C000000}"/>
    <cellStyle name="60% - アクセント 5 2" xfId="40" xr:uid="{00000000-0005-0000-0000-00001D000000}"/>
    <cellStyle name="60% - アクセント 6 2" xfId="41" xr:uid="{00000000-0005-0000-0000-00001E000000}"/>
    <cellStyle name="a_【福岡-6】　システム構成図　" xfId="16" xr:uid="{00000000-0005-0000-0000-00001F000000}"/>
    <cellStyle name="a_【福岡-6】システム設計図 " xfId="17" xr:uid="{00000000-0005-0000-0000-000020000000}"/>
    <cellStyle name="Comma [0]" xfId="18" xr:uid="{00000000-0005-0000-0000-000021000000}"/>
    <cellStyle name="Comma [0] 2" xfId="93" xr:uid="{00000000-0005-0000-0000-000022000000}"/>
    <cellStyle name="Currency [0]" xfId="19" xr:uid="{00000000-0005-0000-0000-000023000000}"/>
    <cellStyle name="Hyperlink" xfId="20" xr:uid="{00000000-0005-0000-0000-000024000000}"/>
    <cellStyle name="Normal         " xfId="21" xr:uid="{00000000-0005-0000-0000-000025000000}"/>
    <cellStyle name="アクセント 1 2" xfId="42" xr:uid="{00000000-0005-0000-0000-000026000000}"/>
    <cellStyle name="アクセント 2 2" xfId="43" xr:uid="{00000000-0005-0000-0000-000027000000}"/>
    <cellStyle name="アクセント 3 2" xfId="44" xr:uid="{00000000-0005-0000-0000-000028000000}"/>
    <cellStyle name="アクセント 4 2" xfId="45" xr:uid="{00000000-0005-0000-0000-000029000000}"/>
    <cellStyle name="アクセント 5 2" xfId="46" xr:uid="{00000000-0005-0000-0000-00002A000000}"/>
    <cellStyle name="アクセント 6 2" xfId="47" xr:uid="{00000000-0005-0000-0000-00002B000000}"/>
    <cellStyle name="タイトル 2" xfId="48" xr:uid="{00000000-0005-0000-0000-00002C000000}"/>
    <cellStyle name="チェック セル 2" xfId="49" xr:uid="{00000000-0005-0000-0000-00002D000000}"/>
    <cellStyle name="どちらでもない 2" xfId="50" xr:uid="{00000000-0005-0000-0000-00002E000000}"/>
    <cellStyle name="メモ 2" xfId="51" xr:uid="{00000000-0005-0000-0000-00002F000000}"/>
    <cellStyle name="メモ 2 2" xfId="52" xr:uid="{00000000-0005-0000-0000-000030000000}"/>
    <cellStyle name="メモ 2 2 2" xfId="98" xr:uid="{00000000-0005-0000-0000-000031000000}"/>
    <cellStyle name="メモ 2 3" xfId="99" xr:uid="{00000000-0005-0000-0000-000032000000}"/>
    <cellStyle name="メモ 3" xfId="53" xr:uid="{00000000-0005-0000-0000-000033000000}"/>
    <cellStyle name="メモ 3 2" xfId="54" xr:uid="{00000000-0005-0000-0000-000034000000}"/>
    <cellStyle name="メモ 3 2 2" xfId="96" xr:uid="{00000000-0005-0000-0000-000035000000}"/>
    <cellStyle name="メモ 3 3" xfId="97" xr:uid="{00000000-0005-0000-0000-000036000000}"/>
    <cellStyle name="メモ 4" xfId="55" xr:uid="{00000000-0005-0000-0000-000037000000}"/>
    <cellStyle name="メモ 4 2" xfId="95" xr:uid="{00000000-0005-0000-0000-000038000000}"/>
    <cellStyle name="リンク セル 2" xfId="56" xr:uid="{00000000-0005-0000-0000-000039000000}"/>
    <cellStyle name="悪い 2" xfId="57" xr:uid="{00000000-0005-0000-0000-00003A000000}"/>
    <cellStyle name="計算 2" xfId="58" xr:uid="{00000000-0005-0000-0000-00003B000000}"/>
    <cellStyle name="計算 2 2" xfId="59" xr:uid="{00000000-0005-0000-0000-00003C000000}"/>
    <cellStyle name="計算 2 2 2" xfId="92" xr:uid="{00000000-0005-0000-0000-00003D000000}"/>
    <cellStyle name="計算 2 3" xfId="94" xr:uid="{00000000-0005-0000-0000-00003E000000}"/>
    <cellStyle name="計算 3" xfId="60" xr:uid="{00000000-0005-0000-0000-00003F000000}"/>
    <cellStyle name="計算 3 2" xfId="91" xr:uid="{00000000-0005-0000-0000-000040000000}"/>
    <cellStyle name="警告文 2" xfId="61" xr:uid="{00000000-0005-0000-0000-000041000000}"/>
    <cellStyle name="見出し 1 2" xfId="62" xr:uid="{00000000-0005-0000-0000-000042000000}"/>
    <cellStyle name="見出し 2 2" xfId="63" xr:uid="{00000000-0005-0000-0000-000043000000}"/>
    <cellStyle name="見出し 3 2" xfId="64" xr:uid="{00000000-0005-0000-0000-000044000000}"/>
    <cellStyle name="見出し 4 2" xfId="65" xr:uid="{00000000-0005-0000-0000-000045000000}"/>
    <cellStyle name="集計 2" xfId="66" xr:uid="{00000000-0005-0000-0000-000046000000}"/>
    <cellStyle name="集計 2 2" xfId="67" xr:uid="{00000000-0005-0000-0000-000047000000}"/>
    <cellStyle name="集計 2 2 2" xfId="89" xr:uid="{00000000-0005-0000-0000-000048000000}"/>
    <cellStyle name="集計 2 3" xfId="90" xr:uid="{00000000-0005-0000-0000-000049000000}"/>
    <cellStyle name="集計 3" xfId="68" xr:uid="{00000000-0005-0000-0000-00004A000000}"/>
    <cellStyle name="集計 3 2" xfId="88" xr:uid="{00000000-0005-0000-0000-00004B000000}"/>
    <cellStyle name="出力 2" xfId="69" xr:uid="{00000000-0005-0000-0000-00004C000000}"/>
    <cellStyle name="出力 2 2" xfId="70" xr:uid="{00000000-0005-0000-0000-00004D000000}"/>
    <cellStyle name="出力 2 2 2" xfId="86" xr:uid="{00000000-0005-0000-0000-00004E000000}"/>
    <cellStyle name="出力 2 3" xfId="87" xr:uid="{00000000-0005-0000-0000-00004F000000}"/>
    <cellStyle name="出力 3" xfId="71" xr:uid="{00000000-0005-0000-0000-000050000000}"/>
    <cellStyle name="出力 3 2" xfId="85" xr:uid="{00000000-0005-0000-0000-000051000000}"/>
    <cellStyle name="説明文 2" xfId="72" xr:uid="{00000000-0005-0000-0000-000052000000}"/>
    <cellStyle name="入力 2" xfId="73" xr:uid="{00000000-0005-0000-0000-000053000000}"/>
    <cellStyle name="入力 2 2" xfId="74" xr:uid="{00000000-0005-0000-0000-000054000000}"/>
    <cellStyle name="入力 2 2 2" xfId="106" xr:uid="{00000000-0005-0000-0000-000055000000}"/>
    <cellStyle name="入力 2 3" xfId="105" xr:uid="{00000000-0005-0000-0000-000056000000}"/>
    <cellStyle name="入力 3" xfId="75" xr:uid="{00000000-0005-0000-0000-000057000000}"/>
    <cellStyle name="入力 3 2" xfId="107" xr:uid="{00000000-0005-0000-0000-000058000000}"/>
    <cellStyle name="標準" xfId="0" builtinId="0"/>
    <cellStyle name="標準 11" xfId="22" xr:uid="{00000000-0005-0000-0000-00005A000000}"/>
    <cellStyle name="標準 113" xfId="101" xr:uid="{00000000-0005-0000-0000-00005B000000}"/>
    <cellStyle name="標準 114" xfId="102" xr:uid="{00000000-0005-0000-0000-00005C000000}"/>
    <cellStyle name="標準 115" xfId="103" xr:uid="{00000000-0005-0000-0000-00005D000000}"/>
    <cellStyle name="標準 117" xfId="104" xr:uid="{00000000-0005-0000-0000-00005E000000}"/>
    <cellStyle name="標準 2" xfId="2" xr:uid="{00000000-0005-0000-0000-00005F000000}"/>
    <cellStyle name="標準 2 2" xfId="76" xr:uid="{00000000-0005-0000-0000-000060000000}"/>
    <cellStyle name="標準 2 3" xfId="77" xr:uid="{00000000-0005-0000-0000-000061000000}"/>
    <cellStyle name="標準 3" xfId="1" xr:uid="{00000000-0005-0000-0000-000062000000}"/>
    <cellStyle name="標準 3 2" xfId="78" xr:uid="{00000000-0005-0000-0000-000063000000}"/>
    <cellStyle name="標準 3 3" xfId="79" xr:uid="{00000000-0005-0000-0000-000064000000}"/>
    <cellStyle name="標準 3 4" xfId="84" xr:uid="{00000000-0005-0000-0000-000065000000}"/>
    <cellStyle name="標準 4" xfId="23" xr:uid="{00000000-0005-0000-0000-000066000000}"/>
    <cellStyle name="標準 5" xfId="81" xr:uid="{00000000-0005-0000-0000-000067000000}"/>
    <cellStyle name="標準 5 2" xfId="82" xr:uid="{00000000-0005-0000-0000-000068000000}"/>
    <cellStyle name="標準 5 3" xfId="100" xr:uid="{00000000-0005-0000-0000-000069000000}"/>
    <cellStyle name="標準 5 3 2" xfId="83" xr:uid="{00000000-0005-0000-0000-00006A000000}"/>
    <cellStyle name="良い 2" xfId="80" xr:uid="{00000000-0005-0000-0000-00006B000000}"/>
  </cellStyles>
  <dxfs count="23">
    <dxf>
      <fill>
        <patternFill>
          <bgColor theme="0" tint="-0.24994659260841701"/>
        </patternFill>
      </fill>
    </dxf>
    <dxf>
      <fill>
        <patternFill>
          <bgColor theme="0" tint="-0.24994659260841701"/>
        </patternFill>
      </fill>
    </dxf>
    <dxf>
      <border>
        <top style="thin">
          <color rgb="FF000000"/>
        </top>
      </border>
    </dxf>
    <dxf>
      <border>
        <top style="thin">
          <color rgb="FF000000"/>
        </top>
      </border>
    </dxf>
    <dxf>
      <fill>
        <patternFill>
          <bgColor rgb="FFA6A6A6"/>
        </patternFill>
      </fill>
    </dxf>
    <dxf>
      <border>
        <top style="thin">
          <color rgb="FF000000"/>
        </top>
      </border>
    </dxf>
    <dxf>
      <fill>
        <patternFill>
          <bgColor rgb="FFA6A6A6"/>
        </patternFill>
      </fill>
    </dxf>
    <dxf>
      <border>
        <top style="thin">
          <color rgb="FF000000"/>
        </top>
      </border>
    </dxf>
    <dxf>
      <font>
        <color indexed="8"/>
      </font>
    </dxf>
    <dxf>
      <font>
        <color indexed="8"/>
      </font>
    </dxf>
    <dxf>
      <border>
        <top style="thin">
          <color rgb="FF000000"/>
        </top>
      </border>
    </dxf>
    <dxf>
      <font>
        <color indexed="8"/>
      </font>
    </dxf>
    <dxf>
      <border>
        <top style="thin">
          <color rgb="FF000000"/>
        </top>
      </border>
    </dxf>
    <dxf>
      <font>
        <color indexed="8"/>
      </font>
    </dxf>
    <dxf>
      <border>
        <top style="thin">
          <color rgb="FF000000"/>
        </top>
      </border>
    </dxf>
    <dxf>
      <font>
        <color indexed="22"/>
      </font>
    </dxf>
    <dxf>
      <border>
        <top style="thin">
          <color rgb="FF000000"/>
        </top>
      </border>
    </dxf>
    <dxf>
      <border>
        <top style="thin">
          <color rgb="FF000000"/>
        </top>
      </border>
    </dxf>
    <dxf>
      <border>
        <top style="thin">
          <color rgb="FF000000"/>
        </top>
      </border>
    </dxf>
    <dxf>
      <font>
        <color indexed="8"/>
      </font>
    </dxf>
    <dxf>
      <font>
        <color indexed="8"/>
      </font>
    </dxf>
    <dxf>
      <font>
        <color indexed="8"/>
      </font>
    </dxf>
    <dxf>
      <fill>
        <patternFill>
          <bgColor theme="0" tint="-0.24994659260841701"/>
        </patternFill>
      </fill>
    </dxf>
  </dxfs>
  <tableStyles count="0" defaultTableStyle="TableStyleMedium2" defaultPivotStyle="PivotStyleLight16"/>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431800</xdr:colOff>
          <xdr:row>0</xdr:row>
          <xdr:rowOff>133350</xdr:rowOff>
        </xdr:from>
        <xdr:to>
          <xdr:col>4</xdr:col>
          <xdr:colOff>2514600</xdr:colOff>
          <xdr:row>3</xdr:row>
          <xdr:rowOff>12700</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ja-JP" altLang="en-US" sz="1100" b="0" i="0" u="none" strike="noStrike" baseline="0">
                  <a:solidFill>
                    <a:srgbClr val="000000"/>
                  </a:solidFill>
                  <a:latin typeface="ＭＳ Ｐゴシック"/>
                  <a:ea typeface="ＭＳ Ｐゴシック"/>
                </a:rPr>
                <a:t>条件付き書式設定</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215347</xdr:colOff>
      <xdr:row>27</xdr:row>
      <xdr:rowOff>22089</xdr:rowOff>
    </xdr:from>
    <xdr:to>
      <xdr:col>16</xdr:col>
      <xdr:colOff>104557</xdr:colOff>
      <xdr:row>43</xdr:row>
      <xdr:rowOff>110435</xdr:rowOff>
    </xdr:to>
    <xdr:pic>
      <xdr:nvPicPr>
        <xdr:cNvPr id="5" name="図 4">
          <a:extLst>
            <a:ext uri="{FF2B5EF4-FFF2-40B4-BE49-F238E27FC236}">
              <a16:creationId xmlns:a16="http://schemas.microsoft.com/office/drawing/2014/main" id="{90A8D155-51FC-BF3A-F1B8-508365A4A9EE}"/>
            </a:ext>
          </a:extLst>
        </xdr:cNvPr>
        <xdr:cNvPicPr>
          <a:picLocks noChangeAspect="1"/>
        </xdr:cNvPicPr>
      </xdr:nvPicPr>
      <xdr:blipFill rotWithShape="1">
        <a:blip xmlns:r="http://schemas.openxmlformats.org/officeDocument/2006/relationships" r:embed="rId1"/>
        <a:srcRect b="15904"/>
        <a:stretch>
          <a:fillRect/>
        </a:stretch>
      </xdr:blipFill>
      <xdr:spPr>
        <a:xfrm>
          <a:off x="458304" y="4494698"/>
          <a:ext cx="6382775" cy="2738780"/>
        </a:xfrm>
        <a:prstGeom prst="rect">
          <a:avLst/>
        </a:prstGeom>
      </xdr:spPr>
    </xdr:pic>
    <xdr:clientData/>
  </xdr:twoCellAnchor>
  <xdr:twoCellAnchor>
    <xdr:from>
      <xdr:col>2</xdr:col>
      <xdr:colOff>0</xdr:colOff>
      <xdr:row>41</xdr:row>
      <xdr:rowOff>0</xdr:rowOff>
    </xdr:from>
    <xdr:to>
      <xdr:col>12</xdr:col>
      <xdr:colOff>323850</xdr:colOff>
      <xdr:row>43</xdr:row>
      <xdr:rowOff>85725</xdr:rowOff>
    </xdr:to>
    <xdr:sp macro="" textlink="">
      <xdr:nvSpPr>
        <xdr:cNvPr id="3" name="正方形/長方形 2">
          <a:extLst>
            <a:ext uri="{FF2B5EF4-FFF2-40B4-BE49-F238E27FC236}">
              <a16:creationId xmlns:a16="http://schemas.microsoft.com/office/drawing/2014/main" id="{056C6D11-9015-408F-A62F-F3A9D150D195}"/>
            </a:ext>
            <a:ext uri="{147F2762-F138-4A5C-976F-8EAC2B608ADB}">
              <a16:predDERef xmlns:a16="http://schemas.microsoft.com/office/drawing/2014/main" pred="{90A8D155-51FC-BF3A-F1B8-508365A4A9EE}"/>
            </a:ext>
          </a:extLst>
        </xdr:cNvPr>
        <xdr:cNvSpPr/>
      </xdr:nvSpPr>
      <xdr:spPr>
        <a:xfrm>
          <a:off x="457200" y="6638925"/>
          <a:ext cx="2609850" cy="409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56</xdr:row>
      <xdr:rowOff>0</xdr:rowOff>
    </xdr:from>
    <xdr:to>
      <xdr:col>14</xdr:col>
      <xdr:colOff>791390</xdr:colOff>
      <xdr:row>78</xdr:row>
      <xdr:rowOff>152948</xdr:rowOff>
    </xdr:to>
    <xdr:pic>
      <xdr:nvPicPr>
        <xdr:cNvPr id="4" name="図 3">
          <a:extLst>
            <a:ext uri="{FF2B5EF4-FFF2-40B4-BE49-F238E27FC236}">
              <a16:creationId xmlns:a16="http://schemas.microsoft.com/office/drawing/2014/main" id="{B3DC391B-EB0B-4C60-8797-818DB4A44C79}"/>
            </a:ext>
          </a:extLst>
        </xdr:cNvPr>
        <xdr:cNvPicPr>
          <a:picLocks noChangeAspect="1"/>
        </xdr:cNvPicPr>
      </xdr:nvPicPr>
      <xdr:blipFill>
        <a:blip xmlns:r="http://schemas.openxmlformats.org/officeDocument/2006/relationships" r:embed="rId2"/>
        <a:stretch>
          <a:fillRect/>
        </a:stretch>
      </xdr:blipFill>
      <xdr:spPr>
        <a:xfrm>
          <a:off x="482600" y="9245600"/>
          <a:ext cx="5388790" cy="37851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20316;&#26989;&#12501;&#12457;&#12523;&#12480;_Work&#29992;/&#24773;&#22577;&#31278;&#21029;&#12481;&#12455;&#12483;&#12463;/&#30011;&#38754;&#19968;&#35239;.xlsx" TargetMode="External"/><Relationship Id="rId1" Type="http://schemas.openxmlformats.org/officeDocument/2006/relationships/externalLinkPath" Target="/&#20316;&#26989;&#12501;&#12457;&#12523;&#12480;_Work&#29992;/&#24773;&#22577;&#31278;&#21029;&#12481;&#12455;&#12483;&#12463;/&#30011;&#38754;&#19968;&#3523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ttcomgroup.sharepoint.com/sites/in_teams_NDKPJ/Shared%20Documents/&#38283;&#30330;/81_&#12496;&#12540;&#12472;&#12519;&#12531;&#12450;&#12483;&#12503;/L1&#35373;&#35336;&#22522;&#30436;/2026C_L1EOL&#23550;&#24540;STEP3(JP5&#31227;&#35373;)/02_AP/02_&#35430;&#39443;&#38917;&#30446;&#26360;/&#12450;&#12503;&#12522;&#12465;&#12540;&#12471;&#12519;&#12531;&#35430;&#39443;/&#32722;&#29087;/&#35430;&#39443;&#38917;&#30446;&#26360;_CDDB0100_Ne-OpS&#21517;&#29983;&#25104;&#65286;&#23637;&#38283;&#12496;&#12483;&#12481;.xlsm" TargetMode="External"/><Relationship Id="rId1" Type="http://schemas.openxmlformats.org/officeDocument/2006/relationships/externalLinkPath" Target="&#35430;&#39443;&#38917;&#30446;&#26360;_CDDB0100_Ne-OpS&#21517;&#29983;&#25104;&#65286;&#23637;&#38283;&#12496;&#12483;&#1248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タイトル"/>
      <sheetName val="画面一覧（サンプル）"/>
      <sheetName val="画面一覧（様式)"/>
    </sheetNames>
    <sheetDataSet>
      <sheetData sheetId="0" refreshError="1"/>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試験実施要領"/>
      <sheetName val="試験項目書"/>
      <sheetName val="パターン表"/>
      <sheetName val="集計"/>
      <sheetName val="マスタ"/>
      <sheetName val="ディシジョン表"/>
      <sheetName val="画面UT用サンプル"/>
      <sheetName val="サービスUT用サンプル"/>
      <sheetName val="対象データ"/>
    </sheetNames>
    <sheetDataSet>
      <sheetData sheetId="0"/>
      <sheetData sheetId="1"/>
      <sheetData sheetId="2">
        <row r="14">
          <cell r="C14">
            <v>1</v>
          </cell>
          <cell r="U14" t="str">
            <v>PT001-001</v>
          </cell>
        </row>
        <row r="15">
          <cell r="C15">
            <v>2</v>
          </cell>
          <cell r="U15" t="str">
            <v>PT001-001</v>
          </cell>
        </row>
        <row r="16">
          <cell r="C16">
            <v>2</v>
          </cell>
          <cell r="U16" t="str">
            <v>PT001-001</v>
          </cell>
        </row>
        <row r="17">
          <cell r="C17">
            <v>3</v>
          </cell>
        </row>
        <row r="255">
          <cell r="C255" t="str">
            <v>EOL</v>
          </cell>
          <cell r="U255" t="str">
            <v>EOL</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0.bin"/><Relationship Id="rId13" Type="http://schemas.openxmlformats.org/officeDocument/2006/relationships/vmlDrawing" Target="../drawings/vmlDrawing1.vml"/><Relationship Id="rId3" Type="http://schemas.openxmlformats.org/officeDocument/2006/relationships/printerSettings" Target="../printerSettings/printerSettings15.bin"/><Relationship Id="rId7" Type="http://schemas.openxmlformats.org/officeDocument/2006/relationships/printerSettings" Target="../printerSettings/printerSettings19.bin"/><Relationship Id="rId12" Type="http://schemas.openxmlformats.org/officeDocument/2006/relationships/drawing" Target="../drawings/drawing1.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11" Type="http://schemas.openxmlformats.org/officeDocument/2006/relationships/printerSettings" Target="../printerSettings/printerSettings23.bin"/><Relationship Id="rId5" Type="http://schemas.openxmlformats.org/officeDocument/2006/relationships/printerSettings" Target="../printerSettings/printerSettings17.bin"/><Relationship Id="rId10" Type="http://schemas.openxmlformats.org/officeDocument/2006/relationships/printerSettings" Target="../printerSettings/printerSettings22.bin"/><Relationship Id="rId4" Type="http://schemas.openxmlformats.org/officeDocument/2006/relationships/printerSettings" Target="../printerSettings/printerSettings16.bin"/><Relationship Id="rId9" Type="http://schemas.openxmlformats.org/officeDocument/2006/relationships/printerSettings" Target="../printerSettings/printerSettings21.bin"/><Relationship Id="rId1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3.bin"/><Relationship Id="rId3" Type="http://schemas.openxmlformats.org/officeDocument/2006/relationships/printerSettings" Target="../printerSettings/printerSettings28.bin"/><Relationship Id="rId7" Type="http://schemas.openxmlformats.org/officeDocument/2006/relationships/printerSettings" Target="../printerSettings/printerSettings32.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6" Type="http://schemas.openxmlformats.org/officeDocument/2006/relationships/printerSettings" Target="../printerSettings/printerSettings31.bin"/><Relationship Id="rId11" Type="http://schemas.openxmlformats.org/officeDocument/2006/relationships/printerSettings" Target="../printerSettings/printerSettings36.bin"/><Relationship Id="rId5" Type="http://schemas.openxmlformats.org/officeDocument/2006/relationships/printerSettings" Target="../printerSettings/printerSettings30.bin"/><Relationship Id="rId10" Type="http://schemas.openxmlformats.org/officeDocument/2006/relationships/printerSettings" Target="../printerSettings/printerSettings35.bin"/><Relationship Id="rId4" Type="http://schemas.openxmlformats.org/officeDocument/2006/relationships/printerSettings" Target="../printerSettings/printerSettings29.bin"/><Relationship Id="rId9"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AP42"/>
  <sheetViews>
    <sheetView showGridLines="0" view="pageBreakPreview" zoomScaleNormal="100" zoomScaleSheetLayoutView="100" workbookViewId="0"/>
  </sheetViews>
  <sheetFormatPr defaultColWidth="2.54296875" defaultRowHeight="13.5"/>
  <cols>
    <col min="1" max="1" width="0.54296875" style="1" customWidth="1"/>
    <col min="2" max="16384" width="2.54296875" style="1"/>
  </cols>
  <sheetData>
    <row r="2" spans="2:42" ht="19.5">
      <c r="B2" s="325" t="s">
        <v>0</v>
      </c>
      <c r="C2" s="325"/>
      <c r="D2" s="325"/>
      <c r="E2" s="325"/>
      <c r="F2" s="325"/>
      <c r="G2" s="325"/>
      <c r="H2" s="325"/>
      <c r="I2" s="325"/>
      <c r="J2" s="325"/>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row>
    <row r="3" spans="2:42" ht="15">
      <c r="B3" s="2" t="s">
        <v>1</v>
      </c>
      <c r="C3" s="2"/>
      <c r="D3" s="2"/>
      <c r="E3" s="2"/>
      <c r="F3" s="2"/>
      <c r="G3" s="2"/>
      <c r="H3" s="2"/>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2:42" ht="14" thickBot="1">
      <c r="B4" s="253" t="s">
        <v>2</v>
      </c>
      <c r="C4" s="254"/>
      <c r="D4" s="255"/>
      <c r="E4" s="255" t="s">
        <v>3</v>
      </c>
      <c r="F4" s="255"/>
      <c r="G4" s="255"/>
      <c r="H4" s="255"/>
      <c r="I4" s="255" t="s">
        <v>4</v>
      </c>
      <c r="J4" s="255"/>
      <c r="K4" s="255"/>
      <c r="L4" s="255"/>
      <c r="M4" s="255"/>
      <c r="N4" s="255" t="s">
        <v>5</v>
      </c>
      <c r="O4" s="255"/>
      <c r="P4" s="255"/>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6"/>
    </row>
    <row r="5" spans="2:42" ht="33" customHeight="1" thickTop="1">
      <c r="B5" s="4" t="s">
        <v>6</v>
      </c>
      <c r="C5" s="7"/>
      <c r="D5" s="8"/>
      <c r="E5" s="5" t="s">
        <v>7</v>
      </c>
      <c r="F5" s="7"/>
      <c r="G5" s="7"/>
      <c r="H5" s="8"/>
      <c r="I5" s="5" t="s">
        <v>8</v>
      </c>
      <c r="J5" s="7"/>
      <c r="K5" s="7"/>
      <c r="L5" s="7"/>
      <c r="M5" s="8"/>
      <c r="N5" s="326" t="s">
        <v>9</v>
      </c>
      <c r="O5" s="327"/>
      <c r="P5" s="327"/>
      <c r="Q5" s="327"/>
      <c r="R5" s="327"/>
      <c r="S5" s="327"/>
      <c r="T5" s="327"/>
      <c r="U5" s="327"/>
      <c r="V5" s="327"/>
      <c r="W5" s="327"/>
      <c r="X5" s="327"/>
      <c r="Y5" s="327"/>
      <c r="Z5" s="327"/>
      <c r="AA5" s="327"/>
      <c r="AB5" s="327"/>
      <c r="AC5" s="327"/>
      <c r="AD5" s="327"/>
      <c r="AE5" s="327"/>
      <c r="AF5" s="327"/>
      <c r="AG5" s="327"/>
      <c r="AH5" s="327"/>
      <c r="AI5" s="327"/>
      <c r="AJ5" s="327"/>
      <c r="AK5" s="327"/>
      <c r="AL5" s="327"/>
      <c r="AM5" s="327"/>
      <c r="AN5" s="327"/>
      <c r="AO5" s="327"/>
      <c r="AP5" s="328"/>
    </row>
    <row r="6" spans="2:42">
      <c r="B6" s="6"/>
      <c r="C6" s="7"/>
      <c r="D6" s="8"/>
      <c r="E6" s="9"/>
      <c r="F6" s="7"/>
      <c r="G6" s="7"/>
      <c r="H6" s="8"/>
      <c r="I6" s="9"/>
      <c r="J6" s="7"/>
      <c r="K6" s="7"/>
      <c r="L6" s="7"/>
      <c r="M6" s="8"/>
      <c r="N6" s="329"/>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1"/>
    </row>
    <row r="7" spans="2:42">
      <c r="B7" s="6"/>
      <c r="C7" s="7"/>
      <c r="D7" s="8"/>
      <c r="E7" s="9"/>
      <c r="F7" s="7"/>
      <c r="G7" s="7"/>
      <c r="H7" s="8"/>
      <c r="I7" s="9"/>
      <c r="J7" s="7"/>
      <c r="K7" s="7"/>
      <c r="L7" s="7"/>
      <c r="M7" s="8"/>
      <c r="N7" s="322"/>
      <c r="O7" s="323"/>
      <c r="P7" s="323"/>
      <c r="Q7" s="323"/>
      <c r="R7" s="323"/>
      <c r="S7" s="323"/>
      <c r="T7" s="323"/>
      <c r="U7" s="323"/>
      <c r="V7" s="323"/>
      <c r="W7" s="323"/>
      <c r="X7" s="323"/>
      <c r="Y7" s="323"/>
      <c r="Z7" s="323"/>
      <c r="AA7" s="323"/>
      <c r="AB7" s="323"/>
      <c r="AC7" s="323"/>
      <c r="AD7" s="323"/>
      <c r="AE7" s="323"/>
      <c r="AF7" s="323"/>
      <c r="AG7" s="323"/>
      <c r="AH7" s="323"/>
      <c r="AI7" s="323"/>
      <c r="AJ7" s="323"/>
      <c r="AK7" s="323"/>
      <c r="AL7" s="323"/>
      <c r="AM7" s="323"/>
      <c r="AN7" s="323"/>
      <c r="AO7" s="323"/>
      <c r="AP7" s="324"/>
    </row>
    <row r="8" spans="2:42">
      <c r="B8" s="6"/>
      <c r="C8" s="7"/>
      <c r="D8" s="8"/>
      <c r="E8" s="9"/>
      <c r="F8" s="7"/>
      <c r="G8" s="7"/>
      <c r="H8" s="8"/>
      <c r="I8" s="9"/>
      <c r="J8" s="7"/>
      <c r="K8" s="7"/>
      <c r="L8" s="7"/>
      <c r="M8" s="8"/>
      <c r="N8" s="322"/>
      <c r="O8" s="323"/>
      <c r="P8" s="323"/>
      <c r="Q8" s="323"/>
      <c r="R8" s="323"/>
      <c r="S8" s="323"/>
      <c r="T8" s="323"/>
      <c r="U8" s="323"/>
      <c r="V8" s="323"/>
      <c r="W8" s="323"/>
      <c r="X8" s="323"/>
      <c r="Y8" s="323"/>
      <c r="Z8" s="323"/>
      <c r="AA8" s="323"/>
      <c r="AB8" s="323"/>
      <c r="AC8" s="323"/>
      <c r="AD8" s="323"/>
      <c r="AE8" s="323"/>
      <c r="AF8" s="323"/>
      <c r="AG8" s="323"/>
      <c r="AH8" s="323"/>
      <c r="AI8" s="323"/>
      <c r="AJ8" s="323"/>
      <c r="AK8" s="323"/>
      <c r="AL8" s="323"/>
      <c r="AM8" s="323"/>
      <c r="AN8" s="323"/>
      <c r="AO8" s="323"/>
      <c r="AP8" s="324"/>
    </row>
    <row r="9" spans="2:42">
      <c r="B9" s="6"/>
      <c r="C9" s="7"/>
      <c r="D9" s="8"/>
      <c r="E9" s="9"/>
      <c r="F9" s="7"/>
      <c r="G9" s="7"/>
      <c r="H9" s="8"/>
      <c r="I9" s="9"/>
      <c r="J9" s="7"/>
      <c r="K9" s="7"/>
      <c r="L9" s="7"/>
      <c r="M9" s="8"/>
      <c r="N9" s="322"/>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4"/>
    </row>
    <row r="10" spans="2:42">
      <c r="B10" s="6"/>
      <c r="C10" s="7"/>
      <c r="D10" s="8"/>
      <c r="E10" s="9"/>
      <c r="F10" s="7"/>
      <c r="G10" s="7"/>
      <c r="H10" s="8"/>
      <c r="I10" s="9"/>
      <c r="J10" s="7"/>
      <c r="K10" s="7"/>
      <c r="L10" s="7"/>
      <c r="M10" s="8"/>
      <c r="N10" s="10"/>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11"/>
    </row>
    <row r="11" spans="2:42">
      <c r="B11" s="6"/>
      <c r="C11" s="7"/>
      <c r="D11" s="8"/>
      <c r="E11" s="9"/>
      <c r="F11" s="7"/>
      <c r="G11" s="7"/>
      <c r="H11" s="8"/>
      <c r="I11" s="9"/>
      <c r="J11" s="7"/>
      <c r="K11" s="7"/>
      <c r="L11" s="7"/>
      <c r="M11" s="8"/>
      <c r="N11" s="10"/>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11"/>
    </row>
    <row r="12" spans="2:42">
      <c r="B12" s="6"/>
      <c r="C12" s="7"/>
      <c r="D12" s="8"/>
      <c r="E12" s="9"/>
      <c r="F12" s="7"/>
      <c r="G12" s="7"/>
      <c r="H12" s="8"/>
      <c r="I12" s="9"/>
      <c r="J12" s="7"/>
      <c r="K12" s="7"/>
      <c r="L12" s="7"/>
      <c r="M12" s="8"/>
      <c r="N12" s="10"/>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11"/>
    </row>
    <row r="13" spans="2:42">
      <c r="B13" s="6"/>
      <c r="C13" s="7"/>
      <c r="D13" s="8"/>
      <c r="E13" s="9"/>
      <c r="F13" s="7"/>
      <c r="G13" s="7"/>
      <c r="H13" s="8"/>
      <c r="I13" s="9"/>
      <c r="J13" s="7"/>
      <c r="K13" s="7"/>
      <c r="L13" s="7"/>
      <c r="M13" s="8"/>
      <c r="N13" s="10"/>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11"/>
    </row>
    <row r="14" spans="2:42">
      <c r="B14" s="6"/>
      <c r="C14" s="7"/>
      <c r="D14" s="8"/>
      <c r="E14" s="9"/>
      <c r="F14" s="7"/>
      <c r="G14" s="7"/>
      <c r="H14" s="8"/>
      <c r="I14" s="9"/>
      <c r="J14" s="7"/>
      <c r="K14" s="7"/>
      <c r="L14" s="7"/>
      <c r="M14" s="8"/>
      <c r="N14" s="10"/>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11"/>
    </row>
    <row r="15" spans="2:42">
      <c r="B15" s="6"/>
      <c r="C15" s="7"/>
      <c r="D15" s="8"/>
      <c r="E15" s="9"/>
      <c r="F15" s="7"/>
      <c r="G15" s="7"/>
      <c r="H15" s="8"/>
      <c r="I15" s="9"/>
      <c r="J15" s="7"/>
      <c r="K15" s="7"/>
      <c r="L15" s="7"/>
      <c r="M15" s="8"/>
      <c r="N15" s="10"/>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11"/>
    </row>
    <row r="16" spans="2:42">
      <c r="B16" s="6"/>
      <c r="C16" s="7"/>
      <c r="D16" s="8"/>
      <c r="E16" s="9"/>
      <c r="F16" s="7"/>
      <c r="G16" s="7"/>
      <c r="H16" s="8"/>
      <c r="I16" s="9"/>
      <c r="J16" s="7"/>
      <c r="K16" s="7"/>
      <c r="L16" s="7"/>
      <c r="M16" s="8"/>
      <c r="N16" s="10"/>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11"/>
    </row>
    <row r="17" spans="2:42">
      <c r="B17" s="6"/>
      <c r="C17" s="7"/>
      <c r="D17" s="8"/>
      <c r="E17" s="9"/>
      <c r="F17" s="7"/>
      <c r="G17" s="7"/>
      <c r="H17" s="8"/>
      <c r="I17" s="9"/>
      <c r="J17" s="7"/>
      <c r="K17" s="7"/>
      <c r="L17" s="7"/>
      <c r="M17" s="8"/>
      <c r="N17" s="10"/>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11"/>
    </row>
    <row r="18" spans="2:42">
      <c r="B18" s="6"/>
      <c r="C18" s="7"/>
      <c r="D18" s="8"/>
      <c r="E18" s="9"/>
      <c r="F18" s="7"/>
      <c r="G18" s="7"/>
      <c r="H18" s="8"/>
      <c r="I18" s="9"/>
      <c r="J18" s="7"/>
      <c r="K18" s="7"/>
      <c r="L18" s="7"/>
      <c r="M18" s="8"/>
      <c r="N18" s="10"/>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11"/>
    </row>
    <row r="19" spans="2:42">
      <c r="B19" s="6"/>
      <c r="C19" s="7"/>
      <c r="D19" s="8"/>
      <c r="E19" s="9"/>
      <c r="F19" s="7"/>
      <c r="G19" s="7"/>
      <c r="H19" s="8"/>
      <c r="I19" s="9"/>
      <c r="J19" s="7"/>
      <c r="K19" s="7"/>
      <c r="L19" s="7"/>
      <c r="M19" s="8"/>
      <c r="N19" s="10"/>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11"/>
    </row>
    <row r="20" spans="2:42">
      <c r="B20" s="6"/>
      <c r="C20" s="7"/>
      <c r="D20" s="8"/>
      <c r="E20" s="9"/>
      <c r="F20" s="7"/>
      <c r="G20" s="7"/>
      <c r="H20" s="8"/>
      <c r="I20" s="9"/>
      <c r="J20" s="7"/>
      <c r="K20" s="7"/>
      <c r="L20" s="7"/>
      <c r="M20" s="8"/>
      <c r="N20" s="10"/>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11"/>
    </row>
    <row r="21" spans="2:42">
      <c r="B21" s="6"/>
      <c r="C21" s="7"/>
      <c r="D21" s="8"/>
      <c r="E21" s="9"/>
      <c r="F21" s="7"/>
      <c r="G21" s="7"/>
      <c r="H21" s="8"/>
      <c r="I21" s="9"/>
      <c r="J21" s="7"/>
      <c r="K21" s="7"/>
      <c r="L21" s="7"/>
      <c r="M21" s="8"/>
      <c r="N21" s="10"/>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11"/>
    </row>
    <row r="22" spans="2:42">
      <c r="B22" s="6"/>
      <c r="C22" s="7"/>
      <c r="D22" s="8"/>
      <c r="E22" s="9"/>
      <c r="F22" s="7"/>
      <c r="G22" s="7"/>
      <c r="H22" s="8"/>
      <c r="I22" s="9"/>
      <c r="J22" s="7"/>
      <c r="K22" s="7"/>
      <c r="L22" s="7"/>
      <c r="M22" s="8"/>
      <c r="N22" s="10"/>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11"/>
    </row>
    <row r="23" spans="2:42">
      <c r="B23" s="6"/>
      <c r="C23" s="7"/>
      <c r="D23" s="8"/>
      <c r="E23" s="9"/>
      <c r="F23" s="7"/>
      <c r="G23" s="7"/>
      <c r="H23" s="8"/>
      <c r="I23" s="9"/>
      <c r="J23" s="7"/>
      <c r="K23" s="7"/>
      <c r="L23" s="7"/>
      <c r="M23" s="8"/>
      <c r="N23" s="10"/>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11"/>
    </row>
    <row r="24" spans="2:42">
      <c r="B24" s="6"/>
      <c r="C24" s="7"/>
      <c r="D24" s="8"/>
      <c r="E24" s="9"/>
      <c r="F24" s="7"/>
      <c r="G24" s="7"/>
      <c r="H24" s="8"/>
      <c r="I24" s="9"/>
      <c r="J24" s="7"/>
      <c r="K24" s="7"/>
      <c r="L24" s="7"/>
      <c r="M24" s="8"/>
      <c r="N24" s="10"/>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11"/>
    </row>
    <row r="25" spans="2:42">
      <c r="B25" s="6"/>
      <c r="C25" s="7"/>
      <c r="D25" s="8"/>
      <c r="E25" s="9"/>
      <c r="F25" s="7"/>
      <c r="G25" s="7"/>
      <c r="H25" s="8"/>
      <c r="I25" s="9"/>
      <c r="J25" s="7"/>
      <c r="K25" s="7"/>
      <c r="L25" s="7"/>
      <c r="M25" s="8"/>
      <c r="N25" s="10"/>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11"/>
    </row>
    <row r="26" spans="2:42">
      <c r="B26" s="6"/>
      <c r="C26" s="7"/>
      <c r="D26" s="8"/>
      <c r="E26" s="9"/>
      <c r="F26" s="7"/>
      <c r="G26" s="7"/>
      <c r="H26" s="8"/>
      <c r="I26" s="9"/>
      <c r="J26" s="7"/>
      <c r="K26" s="7"/>
      <c r="L26" s="7"/>
      <c r="M26" s="8"/>
      <c r="N26" s="10"/>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11"/>
    </row>
    <row r="27" spans="2:42">
      <c r="B27" s="6"/>
      <c r="C27" s="7"/>
      <c r="D27" s="8"/>
      <c r="E27" s="9"/>
      <c r="F27" s="7"/>
      <c r="G27" s="7"/>
      <c r="H27" s="8"/>
      <c r="I27" s="9"/>
      <c r="J27" s="7"/>
      <c r="K27" s="7"/>
      <c r="L27" s="7"/>
      <c r="M27" s="8"/>
      <c r="N27" s="10"/>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11"/>
    </row>
    <row r="28" spans="2:42">
      <c r="B28" s="6"/>
      <c r="C28" s="7"/>
      <c r="D28" s="8"/>
      <c r="E28" s="9"/>
      <c r="F28" s="7"/>
      <c r="G28" s="7"/>
      <c r="H28" s="8"/>
      <c r="I28" s="9"/>
      <c r="J28" s="7"/>
      <c r="K28" s="7"/>
      <c r="L28" s="7"/>
      <c r="M28" s="8"/>
      <c r="N28" s="10"/>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11"/>
    </row>
    <row r="29" spans="2:42">
      <c r="B29" s="6"/>
      <c r="C29" s="7"/>
      <c r="D29" s="8"/>
      <c r="E29" s="9"/>
      <c r="F29" s="7"/>
      <c r="G29" s="7"/>
      <c r="H29" s="8"/>
      <c r="I29" s="9"/>
      <c r="J29" s="7"/>
      <c r="K29" s="7"/>
      <c r="L29" s="7"/>
      <c r="M29" s="8"/>
      <c r="N29" s="10"/>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11"/>
    </row>
    <row r="30" spans="2:42">
      <c r="B30" s="6"/>
      <c r="C30" s="7"/>
      <c r="D30" s="8"/>
      <c r="E30" s="9"/>
      <c r="F30" s="7"/>
      <c r="G30" s="7"/>
      <c r="H30" s="8"/>
      <c r="I30" s="9"/>
      <c r="J30" s="7"/>
      <c r="K30" s="7"/>
      <c r="L30" s="7"/>
      <c r="M30" s="8"/>
      <c r="N30" s="10"/>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11"/>
    </row>
    <row r="31" spans="2:42">
      <c r="B31" s="6"/>
      <c r="C31" s="7"/>
      <c r="D31" s="8"/>
      <c r="E31" s="9"/>
      <c r="F31" s="7"/>
      <c r="G31" s="7"/>
      <c r="H31" s="8"/>
      <c r="I31" s="9"/>
      <c r="J31" s="7"/>
      <c r="K31" s="7"/>
      <c r="L31" s="7"/>
      <c r="M31" s="8"/>
      <c r="N31" s="10"/>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11"/>
    </row>
    <row r="32" spans="2:42">
      <c r="B32" s="6"/>
      <c r="C32" s="7"/>
      <c r="D32" s="8"/>
      <c r="E32" s="9"/>
      <c r="F32" s="7"/>
      <c r="G32" s="7"/>
      <c r="H32" s="8"/>
      <c r="I32" s="9"/>
      <c r="J32" s="7"/>
      <c r="K32" s="7"/>
      <c r="L32" s="7"/>
      <c r="M32" s="8"/>
      <c r="N32" s="10"/>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11"/>
    </row>
    <row r="33" spans="2:42">
      <c r="B33" s="6"/>
      <c r="C33" s="7"/>
      <c r="D33" s="8"/>
      <c r="E33" s="9"/>
      <c r="F33" s="7"/>
      <c r="G33" s="7"/>
      <c r="H33" s="8"/>
      <c r="I33" s="9"/>
      <c r="J33" s="7"/>
      <c r="K33" s="7"/>
      <c r="L33" s="7"/>
      <c r="M33" s="8"/>
      <c r="N33" s="10"/>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11"/>
    </row>
    <row r="34" spans="2:42">
      <c r="B34" s="6"/>
      <c r="C34" s="7"/>
      <c r="D34" s="8"/>
      <c r="E34" s="9"/>
      <c r="F34" s="7"/>
      <c r="G34" s="7"/>
      <c r="H34" s="8"/>
      <c r="I34" s="9"/>
      <c r="J34" s="7"/>
      <c r="K34" s="7"/>
      <c r="L34" s="7"/>
      <c r="M34" s="8"/>
      <c r="N34" s="10"/>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11"/>
    </row>
    <row r="35" spans="2:42">
      <c r="B35" s="6"/>
      <c r="C35" s="7"/>
      <c r="D35" s="8"/>
      <c r="E35" s="9"/>
      <c r="F35" s="7"/>
      <c r="G35" s="7"/>
      <c r="H35" s="8"/>
      <c r="I35" s="9"/>
      <c r="J35" s="7"/>
      <c r="K35" s="7"/>
      <c r="L35" s="7"/>
      <c r="M35" s="8"/>
      <c r="N35" s="10"/>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11"/>
    </row>
    <row r="36" spans="2:42">
      <c r="B36" s="6"/>
      <c r="C36" s="7"/>
      <c r="D36" s="8"/>
      <c r="E36" s="9"/>
      <c r="F36" s="7"/>
      <c r="G36" s="7"/>
      <c r="H36" s="8"/>
      <c r="I36" s="9"/>
      <c r="J36" s="7"/>
      <c r="K36" s="7"/>
      <c r="L36" s="7"/>
      <c r="M36" s="8"/>
      <c r="N36" s="10"/>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11"/>
    </row>
    <row r="37" spans="2:42">
      <c r="B37" s="6"/>
      <c r="C37" s="7"/>
      <c r="D37" s="8"/>
      <c r="E37" s="9"/>
      <c r="F37" s="7"/>
      <c r="G37" s="7"/>
      <c r="H37" s="8"/>
      <c r="I37" s="9"/>
      <c r="J37" s="7"/>
      <c r="K37" s="7"/>
      <c r="L37" s="7"/>
      <c r="M37" s="8"/>
      <c r="N37" s="10"/>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11"/>
    </row>
    <row r="38" spans="2:42">
      <c r="B38" s="6"/>
      <c r="C38" s="7"/>
      <c r="D38" s="8"/>
      <c r="E38" s="9"/>
      <c r="F38" s="7"/>
      <c r="G38" s="7"/>
      <c r="H38" s="8"/>
      <c r="I38" s="9"/>
      <c r="J38" s="7"/>
      <c r="K38" s="7"/>
      <c r="L38" s="7"/>
      <c r="M38" s="8"/>
      <c r="N38" s="10"/>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11"/>
    </row>
    <row r="39" spans="2:42">
      <c r="B39" s="6"/>
      <c r="C39" s="7"/>
      <c r="D39" s="8"/>
      <c r="E39" s="9"/>
      <c r="F39" s="7"/>
      <c r="G39" s="7"/>
      <c r="H39" s="8"/>
      <c r="I39" s="9"/>
      <c r="J39" s="7"/>
      <c r="K39" s="7"/>
      <c r="L39" s="7"/>
      <c r="M39" s="8"/>
      <c r="N39" s="10"/>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11"/>
    </row>
    <row r="40" spans="2:42">
      <c r="B40" s="6"/>
      <c r="C40" s="7"/>
      <c r="D40" s="8"/>
      <c r="E40" s="9"/>
      <c r="F40" s="7"/>
      <c r="G40" s="7"/>
      <c r="H40" s="8"/>
      <c r="I40" s="9"/>
      <c r="J40" s="7"/>
      <c r="K40" s="7"/>
      <c r="L40" s="7"/>
      <c r="M40" s="8"/>
      <c r="N40" s="10"/>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11"/>
    </row>
    <row r="41" spans="2:42">
      <c r="B41" s="6"/>
      <c r="C41" s="7"/>
      <c r="D41" s="8"/>
      <c r="E41" s="9"/>
      <c r="F41" s="7"/>
      <c r="G41" s="7"/>
      <c r="H41" s="8"/>
      <c r="I41" s="9"/>
      <c r="J41" s="7"/>
      <c r="K41" s="7"/>
      <c r="L41" s="7"/>
      <c r="M41" s="8"/>
      <c r="N41" s="10"/>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11"/>
    </row>
    <row r="42" spans="2:42">
      <c r="B42" s="12"/>
      <c r="C42" s="13"/>
      <c r="D42" s="14"/>
      <c r="E42" s="15"/>
      <c r="F42" s="13"/>
      <c r="G42" s="13"/>
      <c r="H42" s="14"/>
      <c r="I42" s="15"/>
      <c r="J42" s="13"/>
      <c r="K42" s="13"/>
      <c r="L42" s="13"/>
      <c r="M42" s="14"/>
      <c r="N42" s="16"/>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7"/>
    </row>
  </sheetData>
  <customSheetViews>
    <customSheetView guid="{8D43A8EA-EA08-48E3-BF94-2BFB788816E3}" scale="85" showPageBreaks="1" showGridLines="0" fitToPage="1" view="pageBreakPreview">
      <selection activeCell="E3" sqref="E3"/>
      <pageMargins left="0" right="0" top="0" bottom="0" header="0" footer="0"/>
      <pageSetup paperSize="9" scale="95" orientation="landscape" r:id="rId1"/>
    </customSheetView>
    <customSheetView guid="{3A6EB1D7-114C-4D3F-B278-A8983B092E89}" scale="85" showPageBreaks="1" showGridLines="0" fitToPage="1" view="pageBreakPreview">
      <selection activeCell="E6" sqref="E6"/>
      <pageMargins left="0" right="0" top="0" bottom="0" header="0" footer="0"/>
      <pageSetup paperSize="9" scale="95" orientation="landscape" r:id="rId2"/>
    </customSheetView>
    <customSheetView guid="{FE79E6DA-7B16-4839-8CFB-07958FC2E8D2}" scale="85" showPageBreaks="1" showGridLines="0" fitToPage="1" view="pageBreakPreview">
      <selection activeCell="E3" sqref="E3"/>
      <pageMargins left="0" right="0" top="0" bottom="0" header="0" footer="0"/>
      <pageSetup paperSize="9" scale="95" orientation="landscape" r:id="rId3"/>
    </customSheetView>
    <customSheetView guid="{9DD2208F-4C44-4913-8171-810057626EC5}" scale="85" showPageBreaks="1" showGridLines="0" fitToPage="1" view="pageBreakPreview">
      <selection activeCell="E3" sqref="E3"/>
      <pageMargins left="0" right="0" top="0" bottom="0" header="0" footer="0"/>
      <pageSetup paperSize="9" scale="95" orientation="landscape" r:id="rId4"/>
    </customSheetView>
    <customSheetView guid="{6C2BAA77-ABB7-4A2D-BD29-85893334F5A3}" scale="85" showPageBreaks="1" showGridLines="0" fitToPage="1" view="pageBreakPreview">
      <selection activeCell="AE34" sqref="AE34"/>
      <pageMargins left="0" right="0" top="0" bottom="0" header="0" footer="0"/>
      <pageSetup paperSize="9" scale="95" orientation="landscape" r:id="rId5"/>
    </customSheetView>
    <customSheetView guid="{A142BDA9-87E4-4D28-8956-CACB0E560FD7}" scale="85" showPageBreaks="1" showGridLines="0" fitToPage="1" view="pageBreakPreview">
      <selection activeCell="E3" sqref="E3"/>
      <pageMargins left="0" right="0" top="0" bottom="0" header="0" footer="0"/>
      <pageSetup paperSize="9" scale="95" orientation="landscape" r:id="rId6"/>
    </customSheetView>
    <customSheetView guid="{07871DE1-6DDD-41A1-BC3E-EE686D9B3091}" scale="85" showPageBreaks="1" showGridLines="0" fitToPage="1" view="pageBreakPreview">
      <selection activeCell="E3" sqref="E3"/>
      <pageMargins left="0" right="0" top="0" bottom="0" header="0" footer="0"/>
      <pageSetup paperSize="9" scale="95" orientation="landscape" r:id="rId7"/>
    </customSheetView>
    <customSheetView guid="{7F6D31C6-7E2C-4B29-867B-55EBA4D25780}" scale="85" showPageBreaks="1" showGridLines="0" fitToPage="1" view="pageBreakPreview">
      <selection activeCell="E3" sqref="E3"/>
      <pageMargins left="0" right="0" top="0" bottom="0" header="0" footer="0"/>
      <pageSetup paperSize="9" scale="95" orientation="landscape" r:id="rId8"/>
    </customSheetView>
    <customSheetView guid="{A0FC786A-8DCE-4049-A0E0-92B8CFB0DE4D}" scale="85" showPageBreaks="1" showGridLines="0" fitToPage="1" view="pageBreakPreview">
      <selection activeCell="AE34" sqref="AE34"/>
      <pageMargins left="0" right="0" top="0" bottom="0" header="0" footer="0"/>
      <pageSetup paperSize="9" scale="95" orientation="landscape" r:id="rId9"/>
    </customSheetView>
    <customSheetView guid="{9AF22A4D-4E31-4B78-9592-FFE6AADDDF54}" scale="85" showPageBreaks="1" showGridLines="0" fitToPage="1" view="pageBreakPreview">
      <selection activeCell="E3" sqref="E3"/>
      <pageMargins left="0" right="0" top="0" bottom="0" header="0" footer="0"/>
      <pageSetup paperSize="9" scale="95" orientation="landscape" r:id="rId10"/>
    </customSheetView>
  </customSheetViews>
  <mergeCells count="6">
    <mergeCell ref="N9:AP9"/>
    <mergeCell ref="B2:AO2"/>
    <mergeCell ref="N5:AP5"/>
    <mergeCell ref="N6:AP6"/>
    <mergeCell ref="N7:AP7"/>
    <mergeCell ref="N8:AP8"/>
  </mergeCells>
  <phoneticPr fontId="5"/>
  <pageMargins left="0.39370078740157483" right="0.19685039370078741" top="0.39370078740157483" bottom="0.39370078740157483" header="0.31496062992125984" footer="0.31496062992125984"/>
  <pageSetup paperSize="9" scale="95" orientation="landscape"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44"/>
  <sheetViews>
    <sheetView workbookViewId="0">
      <pane xSplit="3" ySplit="3" topLeftCell="D4" activePane="bottomRight" state="frozen"/>
      <selection pane="topRight" activeCell="C1" sqref="C1"/>
      <selection pane="bottomLeft" activeCell="A4" sqref="A4"/>
      <selection pane="bottomRight" activeCell="G44" sqref="G44"/>
    </sheetView>
  </sheetViews>
  <sheetFormatPr defaultColWidth="9" defaultRowHeight="13.5"/>
  <cols>
    <col min="1" max="1" width="3.453125" style="54" customWidth="1"/>
    <col min="2" max="2" width="14.81640625" style="54" customWidth="1"/>
    <col min="3" max="3" width="17.81640625" style="54" customWidth="1"/>
    <col min="4" max="4" width="67.81640625" style="54" bestFit="1" customWidth="1"/>
    <col min="5" max="5" width="4.7265625" style="54" bestFit="1" customWidth="1"/>
    <col min="6" max="6" width="6.453125" style="54" bestFit="1" customWidth="1"/>
    <col min="7" max="7" width="11.1796875" style="54" bestFit="1" customWidth="1"/>
    <col min="8" max="8" width="6.453125" style="54" bestFit="1" customWidth="1"/>
    <col min="9" max="9" width="10" style="54" bestFit="1" customWidth="1"/>
    <col min="10" max="16384" width="9" style="54"/>
  </cols>
  <sheetData>
    <row r="1" spans="1:9">
      <c r="A1" s="338" t="s">
        <v>10</v>
      </c>
      <c r="B1" s="339"/>
      <c r="C1" s="340"/>
      <c r="D1" s="362" t="s">
        <v>11</v>
      </c>
      <c r="E1" s="363"/>
      <c r="F1" s="363"/>
      <c r="G1" s="363"/>
      <c r="H1" s="363"/>
      <c r="I1" s="364"/>
    </row>
    <row r="2" spans="1:9" ht="26.15" customHeight="1">
      <c r="A2" s="338" t="s">
        <v>12</v>
      </c>
      <c r="B2" s="339"/>
      <c r="C2" s="340"/>
      <c r="D2" s="365" t="s">
        <v>13</v>
      </c>
      <c r="E2" s="351"/>
      <c r="F2" s="351"/>
      <c r="G2" s="351"/>
      <c r="H2" s="351"/>
      <c r="I2" s="352"/>
    </row>
    <row r="3" spans="1:9">
      <c r="A3" s="338" t="s">
        <v>14</v>
      </c>
      <c r="B3" s="339"/>
      <c r="C3" s="340"/>
      <c r="D3" s="350" t="s">
        <v>15</v>
      </c>
      <c r="E3" s="351"/>
      <c r="F3" s="351"/>
      <c r="G3" s="351"/>
      <c r="H3" s="351"/>
      <c r="I3" s="352"/>
    </row>
    <row r="4" spans="1:9">
      <c r="A4" s="353" t="s">
        <v>16</v>
      </c>
      <c r="B4" s="354"/>
      <c r="C4" s="149" t="s">
        <v>17</v>
      </c>
      <c r="D4" s="366" t="s">
        <v>18</v>
      </c>
      <c r="E4" s="366"/>
      <c r="F4" s="366"/>
      <c r="G4" s="366"/>
      <c r="H4" s="366"/>
      <c r="I4" s="366"/>
    </row>
    <row r="5" spans="1:9">
      <c r="A5" s="355"/>
      <c r="B5" s="356"/>
      <c r="C5" s="150" t="s">
        <v>19</v>
      </c>
      <c r="D5" s="367"/>
      <c r="E5" s="367"/>
      <c r="F5" s="367"/>
      <c r="G5" s="367"/>
      <c r="H5" s="367"/>
      <c r="I5" s="367"/>
    </row>
    <row r="6" spans="1:9">
      <c r="A6" s="355"/>
      <c r="B6" s="356"/>
      <c r="C6" s="150" t="s">
        <v>20</v>
      </c>
      <c r="D6" s="341"/>
      <c r="E6" s="342"/>
      <c r="F6" s="342"/>
      <c r="G6" s="342"/>
      <c r="H6" s="342"/>
      <c r="I6" s="343"/>
    </row>
    <row r="7" spans="1:9">
      <c r="A7" s="355"/>
      <c r="B7" s="356"/>
      <c r="C7" s="150" t="s">
        <v>21</v>
      </c>
      <c r="D7" s="341" t="s">
        <v>22</v>
      </c>
      <c r="E7" s="342"/>
      <c r="F7" s="342"/>
      <c r="G7" s="342"/>
      <c r="H7" s="342"/>
      <c r="I7" s="343"/>
    </row>
    <row r="8" spans="1:9">
      <c r="A8" s="355"/>
      <c r="B8" s="356"/>
      <c r="C8" s="150" t="s">
        <v>23</v>
      </c>
      <c r="D8" s="341"/>
      <c r="E8" s="342"/>
      <c r="F8" s="342"/>
      <c r="G8" s="342"/>
      <c r="H8" s="342"/>
      <c r="I8" s="343"/>
    </row>
    <row r="9" spans="1:9">
      <c r="A9" s="357"/>
      <c r="B9" s="358"/>
      <c r="C9" s="150" t="s">
        <v>23</v>
      </c>
      <c r="D9" s="344"/>
      <c r="E9" s="345"/>
      <c r="F9" s="345"/>
      <c r="G9" s="345"/>
      <c r="H9" s="345"/>
      <c r="I9" s="346"/>
    </row>
    <row r="10" spans="1:9">
      <c r="A10" s="353" t="s">
        <v>24</v>
      </c>
      <c r="B10" s="359"/>
      <c r="C10" s="354"/>
      <c r="D10" s="347" t="s">
        <v>25</v>
      </c>
      <c r="E10" s="348"/>
      <c r="F10" s="348"/>
      <c r="G10" s="348"/>
      <c r="H10" s="348"/>
      <c r="I10" s="349"/>
    </row>
    <row r="11" spans="1:9">
      <c r="A11" s="355"/>
      <c r="B11" s="360"/>
      <c r="C11" s="356"/>
      <c r="D11" s="341"/>
      <c r="E11" s="342"/>
      <c r="F11" s="342"/>
      <c r="G11" s="342"/>
      <c r="H11" s="342"/>
      <c r="I11" s="343"/>
    </row>
    <row r="12" spans="1:9">
      <c r="A12" s="355"/>
      <c r="B12" s="360"/>
      <c r="C12" s="356"/>
      <c r="D12" s="341"/>
      <c r="E12" s="342"/>
      <c r="F12" s="342"/>
      <c r="G12" s="342"/>
      <c r="H12" s="342"/>
      <c r="I12" s="343"/>
    </row>
    <row r="13" spans="1:9">
      <c r="A13" s="355"/>
      <c r="B13" s="360"/>
      <c r="C13" s="356"/>
      <c r="D13" s="341"/>
      <c r="E13" s="342"/>
      <c r="F13" s="342"/>
      <c r="G13" s="342"/>
      <c r="H13" s="342"/>
      <c r="I13" s="343"/>
    </row>
    <row r="14" spans="1:9">
      <c r="A14" s="355"/>
      <c r="B14" s="360"/>
      <c r="C14" s="356"/>
      <c r="D14" s="341"/>
      <c r="E14" s="342"/>
      <c r="F14" s="342"/>
      <c r="G14" s="342"/>
      <c r="H14" s="342"/>
      <c r="I14" s="343"/>
    </row>
    <row r="15" spans="1:9">
      <c r="A15" s="355"/>
      <c r="B15" s="360"/>
      <c r="C15" s="356"/>
      <c r="D15" s="341"/>
      <c r="E15" s="342"/>
      <c r="F15" s="342"/>
      <c r="G15" s="342"/>
      <c r="H15" s="342"/>
      <c r="I15" s="343"/>
    </row>
    <row r="16" spans="1:9">
      <c r="A16" s="355"/>
      <c r="B16" s="360"/>
      <c r="C16" s="356"/>
      <c r="D16" s="341"/>
      <c r="E16" s="342"/>
      <c r="F16" s="342"/>
      <c r="G16" s="342"/>
      <c r="H16" s="342"/>
      <c r="I16" s="343"/>
    </row>
    <row r="17" spans="1:9">
      <c r="A17" s="357"/>
      <c r="B17" s="361"/>
      <c r="C17" s="358"/>
      <c r="D17" s="344"/>
      <c r="E17" s="345"/>
      <c r="F17" s="345"/>
      <c r="G17" s="345"/>
      <c r="H17" s="345"/>
      <c r="I17" s="346"/>
    </row>
    <row r="18" spans="1:9">
      <c r="A18" s="338" t="s">
        <v>26</v>
      </c>
      <c r="B18" s="339"/>
      <c r="C18" s="340"/>
      <c r="D18" s="350" t="s">
        <v>27</v>
      </c>
      <c r="E18" s="351"/>
      <c r="F18" s="351"/>
      <c r="G18" s="351"/>
      <c r="H18" s="351"/>
      <c r="I18" s="352"/>
    </row>
    <row r="19" spans="1:9">
      <c r="A19" s="338" t="s">
        <v>28</v>
      </c>
      <c r="B19" s="339"/>
      <c r="C19" s="340"/>
      <c r="D19" s="350" t="s">
        <v>29</v>
      </c>
      <c r="E19" s="351"/>
      <c r="F19" s="351"/>
      <c r="G19" s="351"/>
      <c r="H19" s="351"/>
      <c r="I19" s="352"/>
    </row>
    <row r="20" spans="1:9">
      <c r="A20" s="338" t="s">
        <v>30</v>
      </c>
      <c r="B20" s="339"/>
      <c r="C20" s="339"/>
      <c r="D20" s="339"/>
      <c r="E20" s="339"/>
      <c r="F20" s="339"/>
      <c r="G20" s="339"/>
      <c r="H20" s="339"/>
      <c r="I20" s="340"/>
    </row>
    <row r="21" spans="1:9">
      <c r="A21" s="164" t="s">
        <v>31</v>
      </c>
      <c r="B21" s="148" t="s">
        <v>32</v>
      </c>
      <c r="C21" s="148" t="s">
        <v>33</v>
      </c>
      <c r="D21" s="151" t="s">
        <v>34</v>
      </c>
      <c r="E21" s="151" t="s">
        <v>35</v>
      </c>
      <c r="F21" s="154" t="s">
        <v>36</v>
      </c>
      <c r="G21" s="155" t="s">
        <v>37</v>
      </c>
      <c r="H21" s="154" t="s">
        <v>38</v>
      </c>
      <c r="I21" s="155" t="s">
        <v>39</v>
      </c>
    </row>
    <row r="22" spans="1:9">
      <c r="A22" s="145">
        <v>1</v>
      </c>
      <c r="B22" s="335" t="s">
        <v>40</v>
      </c>
      <c r="C22" s="145" t="s">
        <v>41</v>
      </c>
      <c r="D22" s="145" t="s">
        <v>42</v>
      </c>
      <c r="E22" s="145" t="s">
        <v>43</v>
      </c>
      <c r="F22" s="199" t="s">
        <v>44</v>
      </c>
      <c r="G22" s="200">
        <v>46171</v>
      </c>
      <c r="H22" s="199"/>
      <c r="I22" s="200"/>
    </row>
    <row r="23" spans="1:9">
      <c r="A23" s="146">
        <v>2</v>
      </c>
      <c r="B23" s="336"/>
      <c r="C23" s="146" t="s">
        <v>16</v>
      </c>
      <c r="D23" s="146" t="s">
        <v>45</v>
      </c>
      <c r="E23" s="146" t="s">
        <v>43</v>
      </c>
      <c r="F23" s="156" t="s">
        <v>44</v>
      </c>
      <c r="G23" s="178">
        <v>46171</v>
      </c>
      <c r="H23" s="156"/>
      <c r="I23" s="178"/>
    </row>
    <row r="24" spans="1:9">
      <c r="A24" s="146">
        <v>3</v>
      </c>
      <c r="B24" s="336"/>
      <c r="C24" s="146" t="s">
        <v>46</v>
      </c>
      <c r="D24" s="146" t="s">
        <v>47</v>
      </c>
      <c r="E24" s="146" t="s">
        <v>48</v>
      </c>
      <c r="F24" s="156" t="s">
        <v>44</v>
      </c>
      <c r="G24" s="178">
        <v>46171</v>
      </c>
      <c r="H24" s="156"/>
      <c r="I24" s="178"/>
    </row>
    <row r="25" spans="1:9">
      <c r="A25" s="146">
        <v>4</v>
      </c>
      <c r="B25" s="336"/>
      <c r="C25" s="146" t="s">
        <v>49</v>
      </c>
      <c r="D25" s="146" t="s">
        <v>50</v>
      </c>
      <c r="E25" s="146" t="s">
        <v>43</v>
      </c>
      <c r="F25" s="156" t="s">
        <v>44</v>
      </c>
      <c r="G25" s="178">
        <v>46171</v>
      </c>
      <c r="H25" s="156"/>
      <c r="I25" s="178"/>
    </row>
    <row r="26" spans="1:9">
      <c r="A26" s="147">
        <v>5</v>
      </c>
      <c r="B26" s="337"/>
      <c r="C26" s="147" t="s">
        <v>51</v>
      </c>
      <c r="D26" s="147" t="s">
        <v>52</v>
      </c>
      <c r="E26" s="147" t="s">
        <v>43</v>
      </c>
      <c r="F26" s="156" t="s">
        <v>44</v>
      </c>
      <c r="G26" s="180">
        <v>46171</v>
      </c>
      <c r="H26" s="157"/>
      <c r="I26" s="180"/>
    </row>
    <row r="27" spans="1:9" ht="14.25" customHeight="1">
      <c r="A27" s="145">
        <v>6</v>
      </c>
      <c r="B27" s="332" t="s">
        <v>53</v>
      </c>
      <c r="C27" s="145" t="s">
        <v>54</v>
      </c>
      <c r="D27" s="145" t="s">
        <v>55</v>
      </c>
      <c r="E27" s="145" t="s">
        <v>43</v>
      </c>
      <c r="F27" s="199" t="s">
        <v>44</v>
      </c>
      <c r="G27" s="200">
        <v>46171</v>
      </c>
      <c r="H27" s="199"/>
      <c r="I27" s="200"/>
    </row>
    <row r="28" spans="1:9" ht="40.5">
      <c r="A28" s="146">
        <v>7</v>
      </c>
      <c r="B28" s="333"/>
      <c r="C28" s="146" t="s">
        <v>56</v>
      </c>
      <c r="D28" s="152" t="s">
        <v>57</v>
      </c>
      <c r="E28" s="152" t="s">
        <v>48</v>
      </c>
      <c r="F28" s="158" t="s">
        <v>44</v>
      </c>
      <c r="G28" s="178">
        <v>46171</v>
      </c>
      <c r="H28" s="156"/>
      <c r="I28" s="178"/>
    </row>
    <row r="29" spans="1:9">
      <c r="A29" s="146">
        <v>8</v>
      </c>
      <c r="B29" s="333"/>
      <c r="C29" s="159" t="s">
        <v>58</v>
      </c>
      <c r="D29" s="160" t="s">
        <v>59</v>
      </c>
      <c r="E29" s="160" t="s">
        <v>48</v>
      </c>
      <c r="F29" s="161" t="s">
        <v>44</v>
      </c>
      <c r="G29" s="178">
        <v>46171</v>
      </c>
      <c r="H29" s="162"/>
      <c r="I29" s="181"/>
    </row>
    <row r="30" spans="1:9">
      <c r="A30" s="147">
        <v>9</v>
      </c>
      <c r="B30" s="334"/>
      <c r="C30" s="147" t="s">
        <v>60</v>
      </c>
      <c r="D30" s="153" t="s">
        <v>61</v>
      </c>
      <c r="E30" s="153" t="s">
        <v>48</v>
      </c>
      <c r="F30" s="163" t="s">
        <v>44</v>
      </c>
      <c r="G30" s="180">
        <v>46171</v>
      </c>
      <c r="H30" s="157"/>
      <c r="I30" s="180"/>
    </row>
    <row r="31" spans="1:9">
      <c r="A31" s="145">
        <v>10</v>
      </c>
      <c r="B31" s="332" t="s">
        <v>62</v>
      </c>
      <c r="C31" s="145" t="s">
        <v>54</v>
      </c>
      <c r="D31" s="145" t="s">
        <v>63</v>
      </c>
      <c r="E31" s="145" t="s">
        <v>43</v>
      </c>
      <c r="F31" s="199" t="s">
        <v>44</v>
      </c>
      <c r="G31" s="200">
        <v>46171</v>
      </c>
      <c r="H31" s="199"/>
      <c r="I31" s="200"/>
    </row>
    <row r="32" spans="1:9" ht="40.5">
      <c r="A32" s="146">
        <v>11</v>
      </c>
      <c r="B32" s="333"/>
      <c r="C32" s="146" t="s">
        <v>64</v>
      </c>
      <c r="D32" s="152" t="s">
        <v>65</v>
      </c>
      <c r="E32" s="146" t="s">
        <v>48</v>
      </c>
      <c r="F32" s="156" t="s">
        <v>44</v>
      </c>
      <c r="G32" s="178">
        <v>46171</v>
      </c>
      <c r="H32" s="156"/>
      <c r="I32" s="178"/>
    </row>
    <row r="33" spans="1:9" ht="40.5">
      <c r="A33" s="146">
        <v>12</v>
      </c>
      <c r="B33" s="333"/>
      <c r="C33" s="152" t="s">
        <v>66</v>
      </c>
      <c r="D33" s="152" t="s">
        <v>67</v>
      </c>
      <c r="E33" s="146" t="s">
        <v>48</v>
      </c>
      <c r="F33" s="156" t="s">
        <v>44</v>
      </c>
      <c r="G33" s="178">
        <v>46171</v>
      </c>
      <c r="H33" s="156"/>
      <c r="I33" s="178"/>
    </row>
    <row r="34" spans="1:9">
      <c r="A34" s="146">
        <v>13</v>
      </c>
      <c r="B34" s="333"/>
      <c r="C34" s="146" t="s">
        <v>68</v>
      </c>
      <c r="D34" s="152" t="s">
        <v>69</v>
      </c>
      <c r="E34" s="146" t="s">
        <v>48</v>
      </c>
      <c r="F34" s="156" t="s">
        <v>44</v>
      </c>
      <c r="G34" s="178">
        <v>46171</v>
      </c>
      <c r="H34" s="156"/>
      <c r="I34" s="178"/>
    </row>
    <row r="35" spans="1:9" ht="27">
      <c r="A35" s="146">
        <v>14</v>
      </c>
      <c r="B35" s="333"/>
      <c r="C35" s="146" t="s">
        <v>70</v>
      </c>
      <c r="D35" s="152" t="s">
        <v>71</v>
      </c>
      <c r="E35" s="146" t="s">
        <v>48</v>
      </c>
      <c r="F35" s="156" t="s">
        <v>44</v>
      </c>
      <c r="G35" s="178">
        <v>46171</v>
      </c>
      <c r="H35" s="156"/>
      <c r="I35" s="178"/>
    </row>
    <row r="36" spans="1:9">
      <c r="A36" s="147">
        <v>15</v>
      </c>
      <c r="B36" s="334"/>
      <c r="C36" s="147" t="s">
        <v>72</v>
      </c>
      <c r="D36" s="153" t="s">
        <v>73</v>
      </c>
      <c r="E36" s="147" t="s">
        <v>48</v>
      </c>
      <c r="F36" s="157" t="s">
        <v>44</v>
      </c>
      <c r="G36" s="180">
        <v>46171</v>
      </c>
      <c r="H36" s="157"/>
      <c r="I36" s="180"/>
    </row>
    <row r="37" spans="1:9">
      <c r="A37" s="145">
        <v>16</v>
      </c>
      <c r="B37" s="332" t="s">
        <v>74</v>
      </c>
      <c r="C37" s="145" t="s">
        <v>54</v>
      </c>
      <c r="D37" s="145" t="s">
        <v>75</v>
      </c>
      <c r="E37" s="145" t="s">
        <v>48</v>
      </c>
      <c r="F37" s="156" t="s">
        <v>44</v>
      </c>
      <c r="G37" s="200">
        <v>46171</v>
      </c>
      <c r="H37" s="199"/>
      <c r="I37" s="200"/>
    </row>
    <row r="38" spans="1:9" ht="27">
      <c r="A38" s="146">
        <v>17</v>
      </c>
      <c r="B38" s="333"/>
      <c r="C38" s="146" t="s">
        <v>76</v>
      </c>
      <c r="D38" s="152" t="s">
        <v>77</v>
      </c>
      <c r="E38" s="146" t="s">
        <v>48</v>
      </c>
      <c r="F38" s="156" t="s">
        <v>44</v>
      </c>
      <c r="G38" s="178">
        <v>46171</v>
      </c>
      <c r="H38" s="156"/>
      <c r="I38" s="178"/>
    </row>
    <row r="39" spans="1:9" ht="54">
      <c r="A39" s="146">
        <v>18</v>
      </c>
      <c r="B39" s="333"/>
      <c r="C39" s="146" t="s">
        <v>78</v>
      </c>
      <c r="D39" s="152" t="s">
        <v>79</v>
      </c>
      <c r="E39" s="146" t="s">
        <v>48</v>
      </c>
      <c r="F39" s="156" t="s">
        <v>44</v>
      </c>
      <c r="G39" s="178">
        <v>46171</v>
      </c>
      <c r="H39" s="156"/>
      <c r="I39" s="178"/>
    </row>
    <row r="40" spans="1:9">
      <c r="A40" s="146">
        <v>19</v>
      </c>
      <c r="B40" s="333"/>
      <c r="C40" s="146" t="s">
        <v>80</v>
      </c>
      <c r="D40" s="152" t="s">
        <v>81</v>
      </c>
      <c r="E40" s="146" t="s">
        <v>48</v>
      </c>
      <c r="F40" s="156" t="s">
        <v>44</v>
      </c>
      <c r="G40" s="178">
        <v>46171</v>
      </c>
      <c r="H40" s="156"/>
      <c r="I40" s="178"/>
    </row>
    <row r="41" spans="1:9">
      <c r="A41" s="147">
        <v>20</v>
      </c>
      <c r="B41" s="334"/>
      <c r="C41" s="147" t="s">
        <v>82</v>
      </c>
      <c r="D41" s="153" t="s">
        <v>83</v>
      </c>
      <c r="E41" s="147" t="s">
        <v>48</v>
      </c>
      <c r="F41" s="157" t="s">
        <v>44</v>
      </c>
      <c r="G41" s="180">
        <v>46171</v>
      </c>
      <c r="H41" s="157"/>
      <c r="I41" s="180"/>
    </row>
    <row r="42" spans="1:9">
      <c r="A42" s="145">
        <v>21</v>
      </c>
      <c r="B42" s="332" t="s">
        <v>84</v>
      </c>
      <c r="C42" s="145" t="s">
        <v>54</v>
      </c>
      <c r="D42" s="145" t="s">
        <v>85</v>
      </c>
      <c r="E42" s="145" t="s">
        <v>48</v>
      </c>
      <c r="F42" s="199" t="s">
        <v>44</v>
      </c>
      <c r="G42" s="200">
        <v>46171</v>
      </c>
      <c r="H42" s="199"/>
      <c r="I42" s="200"/>
    </row>
    <row r="43" spans="1:9">
      <c r="A43" s="146">
        <v>22</v>
      </c>
      <c r="B43" s="333"/>
      <c r="C43" s="146" t="s">
        <v>86</v>
      </c>
      <c r="D43" s="146" t="s">
        <v>87</v>
      </c>
      <c r="E43" s="146" t="s">
        <v>48</v>
      </c>
      <c r="F43" s="156" t="s">
        <v>44</v>
      </c>
      <c r="G43" s="178">
        <v>46171</v>
      </c>
      <c r="H43" s="156"/>
      <c r="I43" s="178"/>
    </row>
    <row r="44" spans="1:9">
      <c r="A44" s="147">
        <v>23</v>
      </c>
      <c r="B44" s="334"/>
      <c r="C44" s="147" t="s">
        <v>88</v>
      </c>
      <c r="D44" s="147" t="s">
        <v>89</v>
      </c>
      <c r="E44" s="147" t="s">
        <v>90</v>
      </c>
      <c r="F44" s="157" t="s">
        <v>44</v>
      </c>
      <c r="G44" s="180">
        <v>46171</v>
      </c>
      <c r="H44" s="157"/>
      <c r="I44" s="180"/>
    </row>
  </sheetData>
  <mergeCells count="32">
    <mergeCell ref="D17:I17"/>
    <mergeCell ref="D1:I1"/>
    <mergeCell ref="D2:I2"/>
    <mergeCell ref="D3:I3"/>
    <mergeCell ref="D4:I4"/>
    <mergeCell ref="D5:I5"/>
    <mergeCell ref="A1:C1"/>
    <mergeCell ref="A2:C2"/>
    <mergeCell ref="A3:C3"/>
    <mergeCell ref="A18:C18"/>
    <mergeCell ref="A10:C17"/>
    <mergeCell ref="A20:I20"/>
    <mergeCell ref="D7:I7"/>
    <mergeCell ref="D8:I8"/>
    <mergeCell ref="D9:I9"/>
    <mergeCell ref="D10:I10"/>
    <mergeCell ref="D18:I18"/>
    <mergeCell ref="D19:I19"/>
    <mergeCell ref="D11:I11"/>
    <mergeCell ref="D12:I12"/>
    <mergeCell ref="D13:I13"/>
    <mergeCell ref="D14:I14"/>
    <mergeCell ref="A19:C19"/>
    <mergeCell ref="A4:B9"/>
    <mergeCell ref="D6:I6"/>
    <mergeCell ref="D15:I15"/>
    <mergeCell ref="D16:I16"/>
    <mergeCell ref="B42:B44"/>
    <mergeCell ref="B22:B26"/>
    <mergeCell ref="B27:B30"/>
    <mergeCell ref="B37:B41"/>
    <mergeCell ref="B31:B36"/>
  </mergeCells>
  <phoneticPr fontId="5"/>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マスタ!$A$2:$A$7</xm:f>
          </x14:formula1>
          <xm:sqref>D1:I1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3:H8"/>
  <sheetViews>
    <sheetView showGridLines="0" zoomScale="80" zoomScaleNormal="80" workbookViewId="0">
      <selection activeCell="E16" sqref="E16"/>
    </sheetView>
  </sheetViews>
  <sheetFormatPr defaultColWidth="9" defaultRowHeight="13.5"/>
  <cols>
    <col min="1" max="1" width="9" style="53"/>
    <col min="2" max="2" width="11.54296875" style="54" bestFit="1" customWidth="1"/>
    <col min="3" max="3" width="10.81640625" style="54" bestFit="1" customWidth="1"/>
    <col min="4" max="4" width="5.1796875" style="54" bestFit="1" customWidth="1"/>
    <col min="5" max="5" width="12" style="54" bestFit="1" customWidth="1"/>
    <col min="6" max="7" width="8.81640625" style="54" bestFit="1" customWidth="1"/>
    <col min="8" max="16384" width="9" style="54"/>
  </cols>
  <sheetData>
    <row r="3" spans="2:8" ht="14" thickBot="1"/>
    <row r="4" spans="2:8" ht="14" thickBot="1">
      <c r="F4" s="368" t="s">
        <v>91</v>
      </c>
      <c r="G4" s="370" t="s">
        <v>92</v>
      </c>
      <c r="H4" s="226"/>
    </row>
    <row r="5" spans="2:8" ht="14.5" thickTop="1" thickBot="1">
      <c r="B5" s="227" t="s">
        <v>93</v>
      </c>
      <c r="C5" s="59" t="s">
        <v>94</v>
      </c>
      <c r="D5" s="228" t="s">
        <v>95</v>
      </c>
      <c r="E5" s="59" t="s">
        <v>96</v>
      </c>
      <c r="F5" s="369"/>
      <c r="G5" s="371"/>
      <c r="H5" s="229"/>
    </row>
    <row r="6" spans="2:8" ht="14.25" customHeight="1" thickTop="1">
      <c r="B6" s="230" t="s">
        <v>97</v>
      </c>
      <c r="C6" s="231" t="s">
        <v>98</v>
      </c>
      <c r="D6" s="232"/>
      <c r="E6" s="233">
        <f>IFERROR(IF(B6="","",INDEX([2]試験項目書!C14:C256,MATCH("*"&amp;B6&amp;"*",[2]試験項目書!U14:U256,0))),"")</f>
        <v>1</v>
      </c>
      <c r="F6" s="234" t="s">
        <v>99</v>
      </c>
      <c r="G6" s="235" t="s">
        <v>100</v>
      </c>
      <c r="H6" s="236"/>
    </row>
    <row r="7" spans="2:8" ht="15.65" customHeight="1" thickBot="1">
      <c r="B7" s="237"/>
      <c r="C7" s="238"/>
      <c r="D7" s="239"/>
      <c r="E7" s="240" t="str">
        <f>IFERROR(IF(B7="","",INDEX(#REF!,MATCH("*"&amp;B7&amp;"*",#REF!,0))),"")</f>
        <v/>
      </c>
      <c r="F7" s="241"/>
      <c r="G7" s="242"/>
      <c r="H7" s="243"/>
    </row>
    <row r="8" spans="2:8" ht="14" thickTop="1"/>
  </sheetData>
  <sheetProtection formatCells="0" formatColumns="0" formatRows="0" insertColumns="0" insertRows="0" insertHyperlinks="0" deleteColumns="0" deleteRows="0" sort="0" autoFilter="0" pivotTables="0"/>
  <mergeCells count="2">
    <mergeCell ref="F4:F5"/>
    <mergeCell ref="G4:G5"/>
  </mergeCells>
  <phoneticPr fontId="5"/>
  <conditionalFormatting sqref="F6:H7">
    <cfRule type="cellIs" dxfId="22" priority="1" operator="equal">
      <formula>"-"</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S91"/>
  <sheetViews>
    <sheetView showGridLines="0" tabSelected="1" zoomScale="70" zoomScaleNormal="70" zoomScaleSheetLayoutView="40" zoomScalePageLayoutView="40" workbookViewId="0">
      <pane xSplit="6" ySplit="6" topLeftCell="X17" activePane="bottomRight" state="frozen"/>
      <selection pane="topRight" activeCell="G1" sqref="G1"/>
      <selection pane="bottomLeft" activeCell="A13" sqref="A13"/>
      <selection pane="bottomRight" activeCell="AC19" sqref="AC19"/>
    </sheetView>
  </sheetViews>
  <sheetFormatPr defaultRowHeight="13"/>
  <cols>
    <col min="1" max="1" width="1.1796875" customWidth="1"/>
    <col min="2" max="2" width="5.453125" bestFit="1" customWidth="1"/>
    <col min="3" max="3" width="11.26953125" bestFit="1" customWidth="1"/>
    <col min="4" max="4" width="30" bestFit="1" customWidth="1"/>
    <col min="5" max="5" width="50.81640625" customWidth="1"/>
    <col min="6" max="6" width="13.453125" customWidth="1"/>
    <col min="7" max="7" width="21.81640625" customWidth="1"/>
    <col min="8" max="8" width="11.54296875" customWidth="1"/>
    <col min="9" max="9" width="10.81640625" customWidth="1"/>
    <col min="10" max="10" width="5.54296875" customWidth="1"/>
    <col min="11" max="11" width="4.54296875" customWidth="1"/>
    <col min="12" max="12" width="4.7265625" customWidth="1"/>
    <col min="13" max="13" width="46" customWidth="1"/>
    <col min="14" max="14" width="10.26953125" customWidth="1"/>
    <col min="15" max="15" width="5.453125" customWidth="1"/>
    <col min="16" max="16" width="19.453125" customWidth="1"/>
    <col min="17" max="17" width="5.1796875" customWidth="1"/>
    <col min="18" max="18" width="10.1796875" customWidth="1"/>
    <col min="19" max="19" width="10.81640625" bestFit="1" customWidth="1"/>
    <col min="20" max="20" width="73.453125" customWidth="1"/>
    <col min="21" max="21" width="10.26953125" customWidth="1"/>
    <col min="22" max="22" width="11.453125" customWidth="1"/>
    <col min="23" max="23" width="9.26953125" bestFit="1" customWidth="1"/>
    <col min="24" max="24" width="73.54296875" customWidth="1"/>
    <col min="25" max="25" width="12.7265625" customWidth="1"/>
    <col min="26" max="26" width="7.453125" customWidth="1"/>
    <col min="27" max="27" width="12.453125" customWidth="1"/>
    <col min="28" max="28" width="10.81640625" customWidth="1"/>
    <col min="29" max="29" width="13.7265625" customWidth="1"/>
    <col min="30" max="30" width="12.7265625" customWidth="1"/>
    <col min="31" max="31" width="7" customWidth="1"/>
    <col min="32" max="32" width="12.1796875" bestFit="1" customWidth="1"/>
    <col min="33" max="33" width="19.54296875" customWidth="1"/>
    <col min="34" max="36" width="12.1796875" customWidth="1"/>
    <col min="37" max="37" width="10.1796875" customWidth="1"/>
    <col min="38" max="38" width="14.1796875" customWidth="1"/>
    <col min="39" max="39" width="12.1796875" customWidth="1"/>
    <col min="40" max="40" width="7" customWidth="1"/>
    <col min="41" max="41" width="12.1796875" customWidth="1"/>
    <col min="42" max="42" width="21.54296875" customWidth="1"/>
  </cols>
  <sheetData>
    <row r="1" spans="1:45" s="38" customFormat="1" ht="16">
      <c r="A1" s="36"/>
      <c r="B1" s="293" t="s">
        <v>101</v>
      </c>
      <c r="C1" s="293"/>
      <c r="D1" s="37" t="str">
        <f>試験実施要領!D1</f>
        <v>ST_システムテスト</v>
      </c>
      <c r="G1" s="39"/>
      <c r="K1" s="40"/>
      <c r="M1" s="41"/>
      <c r="R1" s="40"/>
      <c r="V1" s="40"/>
      <c r="Z1" s="39"/>
      <c r="AB1" s="39"/>
      <c r="AD1" s="42"/>
      <c r="AE1" s="43"/>
      <c r="AF1" s="43"/>
      <c r="AG1" s="43"/>
    </row>
    <row r="2" spans="1:45" s="38" customFormat="1" ht="16">
      <c r="A2" s="36"/>
      <c r="B2" s="293" t="s">
        <v>102</v>
      </c>
      <c r="C2" s="293"/>
      <c r="D2" s="174">
        <f>SUM(G:G)</f>
        <v>1</v>
      </c>
      <c r="G2" s="39"/>
      <c r="K2" s="40"/>
      <c r="M2" s="41"/>
      <c r="R2" s="40"/>
      <c r="V2" s="40"/>
      <c r="Z2" s="39"/>
      <c r="AB2" s="39"/>
      <c r="AD2" s="42"/>
      <c r="AE2" s="43"/>
      <c r="AF2" s="43"/>
      <c r="AG2" s="43"/>
    </row>
    <row r="3" spans="1:45" s="38" customFormat="1" ht="16.5" customHeight="1">
      <c r="A3" s="36"/>
      <c r="B3" s="293" t="s">
        <v>103</v>
      </c>
      <c r="C3" s="293"/>
      <c r="D3" s="174">
        <f>SUM(Q:Q)</f>
        <v>8</v>
      </c>
      <c r="G3" s="39"/>
      <c r="K3" s="44"/>
      <c r="M3" s="41"/>
      <c r="R3" s="40"/>
      <c r="V3" s="40"/>
      <c r="Z3" s="39"/>
      <c r="AB3" s="39"/>
      <c r="AD3" s="42"/>
      <c r="AE3" s="43"/>
      <c r="AF3" s="43"/>
      <c r="AG3" s="43"/>
    </row>
    <row r="4" spans="1:45" s="38" customFormat="1" ht="17.25" customHeight="1">
      <c r="A4" s="36"/>
      <c r="B4" s="293" t="s">
        <v>104</v>
      </c>
      <c r="C4" s="293"/>
      <c r="D4" s="174">
        <f ca="1">COUNTIF(I13:I82,"&lt;&gt;")-COUNTBLANK(I13:I82)</f>
        <v>0</v>
      </c>
      <c r="G4" s="39"/>
      <c r="K4" s="45"/>
      <c r="M4" s="41"/>
      <c r="R4" s="40"/>
      <c r="V4" s="40"/>
      <c r="Z4" s="39"/>
      <c r="AB4" s="39"/>
      <c r="AD4" s="42"/>
      <c r="AE4" s="43"/>
      <c r="AF4" s="43"/>
      <c r="AG4" s="43"/>
      <c r="AH4" s="36"/>
    </row>
    <row r="5" spans="1:45" s="38" customFormat="1" ht="17.25" customHeight="1">
      <c r="A5" s="36"/>
      <c r="B5" s="293" t="s">
        <v>105</v>
      </c>
      <c r="C5" s="293"/>
      <c r="D5" s="174">
        <f>SUMIF(AF13:AF82,"&lt;&gt;*",Q13:Q82)</f>
        <v>8</v>
      </c>
      <c r="G5" s="39"/>
      <c r="K5" s="45"/>
      <c r="M5" s="41"/>
      <c r="R5" s="40"/>
      <c r="V5" s="40"/>
      <c r="Z5" s="39"/>
      <c r="AB5" s="39"/>
      <c r="AD5" s="42"/>
      <c r="AE5" s="43"/>
      <c r="AF5" s="43"/>
      <c r="AG5" s="43"/>
      <c r="AH5" s="36"/>
    </row>
    <row r="6" spans="1:45" s="38" customFormat="1" ht="17.25" customHeight="1">
      <c r="A6" s="36"/>
      <c r="B6" s="293" t="s">
        <v>106</v>
      </c>
      <c r="C6" s="293"/>
      <c r="D6" s="173"/>
      <c r="E6" s="257"/>
      <c r="G6" s="39"/>
      <c r="K6" s="45"/>
      <c r="M6" s="41"/>
      <c r="R6" s="40"/>
      <c r="V6" s="40"/>
      <c r="Z6" s="39"/>
      <c r="AB6" s="39"/>
      <c r="AD6" s="42"/>
      <c r="AE6" s="43"/>
      <c r="AF6" s="43"/>
      <c r="AG6" s="43"/>
      <c r="AH6" s="36"/>
    </row>
    <row r="7" spans="1:45" s="38" customFormat="1" ht="17.25" customHeight="1" thickBot="1">
      <c r="A7" s="36"/>
      <c r="B7" s="293" t="s">
        <v>107</v>
      </c>
      <c r="C7" s="293"/>
      <c r="D7" s="173"/>
      <c r="E7" s="257"/>
      <c r="G7" s="39"/>
      <c r="K7" s="45"/>
      <c r="M7" s="41"/>
      <c r="R7" s="40"/>
      <c r="V7" s="40"/>
      <c r="Z7" s="39"/>
      <c r="AB7" s="39"/>
      <c r="AD7" s="42"/>
      <c r="AE7" s="43"/>
      <c r="AF7" s="43"/>
      <c r="AG7" s="43"/>
      <c r="AH7" s="36"/>
    </row>
    <row r="8" spans="1:45" s="18" customFormat="1" ht="17.25" customHeight="1" thickBot="1">
      <c r="A8" s="47"/>
      <c r="G8" s="48"/>
      <c r="K8" s="49"/>
      <c r="L8" s="49"/>
      <c r="M8" s="50"/>
      <c r="O8" s="171"/>
      <c r="P8" s="172"/>
      <c r="Q8" s="172"/>
      <c r="R8" s="314" t="s">
        <v>108</v>
      </c>
      <c r="S8" s="308"/>
      <c r="T8" s="308"/>
      <c r="U8" s="308"/>
      <c r="V8" s="309"/>
      <c r="W8" s="307" t="s">
        <v>109</v>
      </c>
      <c r="X8" s="308"/>
      <c r="Y8" s="308"/>
      <c r="Z8" s="309"/>
      <c r="AA8" s="307" t="s">
        <v>110</v>
      </c>
      <c r="AB8" s="308"/>
      <c r="AC8" s="308"/>
      <c r="AD8" s="308"/>
      <c r="AE8" s="308"/>
      <c r="AF8" s="308"/>
      <c r="AG8" s="308"/>
      <c r="AH8" s="308"/>
      <c r="AI8" s="309"/>
      <c r="AJ8" s="307" t="s">
        <v>111</v>
      </c>
      <c r="AK8" s="315"/>
      <c r="AL8" s="315"/>
      <c r="AM8" s="315"/>
      <c r="AN8" s="315"/>
      <c r="AO8" s="315"/>
      <c r="AP8" s="315"/>
      <c r="AQ8" s="315"/>
      <c r="AR8" s="316"/>
      <c r="AS8" s="47" t="s">
        <v>112</v>
      </c>
    </row>
    <row r="9" spans="1:45" s="18" customFormat="1" ht="18.75" customHeight="1">
      <c r="A9" s="47"/>
      <c r="B9" s="297" t="s">
        <v>113</v>
      </c>
      <c r="C9" s="300" t="s">
        <v>114</v>
      </c>
      <c r="D9" s="300" t="str">
        <f>IF(D1="UT_単体テスト","テストコードとの紐付け","機能定義との紐付け")</f>
        <v>機能定義との紐付け</v>
      </c>
      <c r="E9" s="300" t="s">
        <v>115</v>
      </c>
      <c r="F9" s="294" t="s">
        <v>116</v>
      </c>
      <c r="G9" s="270" t="s">
        <v>117</v>
      </c>
      <c r="H9" s="287" t="s">
        <v>118</v>
      </c>
      <c r="I9" s="276" t="s">
        <v>119</v>
      </c>
      <c r="J9" s="279" t="s">
        <v>120</v>
      </c>
      <c r="K9" s="270" t="s">
        <v>121</v>
      </c>
      <c r="L9" s="270" t="s">
        <v>122</v>
      </c>
      <c r="M9" s="282" t="s">
        <v>123</v>
      </c>
      <c r="N9" s="290" t="s">
        <v>124</v>
      </c>
      <c r="O9" s="279" t="s">
        <v>125</v>
      </c>
      <c r="P9" s="276" t="s">
        <v>126</v>
      </c>
      <c r="Q9" s="273" t="s">
        <v>127</v>
      </c>
      <c r="R9" s="306" t="s">
        <v>128</v>
      </c>
      <c r="S9" s="267" t="s">
        <v>129</v>
      </c>
      <c r="T9" s="267" t="s">
        <v>130</v>
      </c>
      <c r="U9" s="268" t="s">
        <v>131</v>
      </c>
      <c r="V9" s="267" t="s">
        <v>132</v>
      </c>
      <c r="W9" s="306" t="s">
        <v>133</v>
      </c>
      <c r="X9" s="267" t="s">
        <v>134</v>
      </c>
      <c r="Y9" s="267" t="s">
        <v>135</v>
      </c>
      <c r="Z9" s="303" t="s">
        <v>136</v>
      </c>
      <c r="AA9" s="310" t="s">
        <v>137</v>
      </c>
      <c r="AB9" s="301" t="s">
        <v>138</v>
      </c>
      <c r="AC9" s="301" t="s">
        <v>139</v>
      </c>
      <c r="AD9" s="312" t="s">
        <v>140</v>
      </c>
      <c r="AE9" s="301" t="s">
        <v>141</v>
      </c>
      <c r="AF9" s="301" t="s">
        <v>142</v>
      </c>
      <c r="AG9" s="317" t="s">
        <v>143</v>
      </c>
      <c r="AH9" s="319" t="s">
        <v>144</v>
      </c>
      <c r="AI9" s="320" t="s">
        <v>145</v>
      </c>
      <c r="AJ9" s="310" t="s">
        <v>137</v>
      </c>
      <c r="AK9" s="301" t="s">
        <v>138</v>
      </c>
      <c r="AL9" s="301" t="s">
        <v>139</v>
      </c>
      <c r="AM9" s="312" t="s">
        <v>140</v>
      </c>
      <c r="AN9" s="301" t="s">
        <v>141</v>
      </c>
      <c r="AO9" s="301" t="s">
        <v>142</v>
      </c>
      <c r="AP9" s="317" t="s">
        <v>143</v>
      </c>
      <c r="AQ9" s="319" t="s">
        <v>144</v>
      </c>
      <c r="AR9" s="320" t="s">
        <v>145</v>
      </c>
      <c r="AS9" s="47" t="s">
        <v>112</v>
      </c>
    </row>
    <row r="10" spans="1:45" s="52" customFormat="1" ht="17.5">
      <c r="A10" s="51"/>
      <c r="B10" s="298"/>
      <c r="C10" s="301"/>
      <c r="D10" s="301"/>
      <c r="E10" s="301"/>
      <c r="F10" s="295"/>
      <c r="G10" s="271"/>
      <c r="H10" s="288"/>
      <c r="I10" s="277"/>
      <c r="J10" s="285"/>
      <c r="K10" s="271"/>
      <c r="L10" s="271"/>
      <c r="M10" s="283"/>
      <c r="N10" s="291"/>
      <c r="O10" s="280"/>
      <c r="P10" s="277"/>
      <c r="Q10" s="274"/>
      <c r="R10" s="280"/>
      <c r="S10" s="268"/>
      <c r="T10" s="268"/>
      <c r="U10" s="268"/>
      <c r="V10" s="268"/>
      <c r="W10" s="280"/>
      <c r="X10" s="268"/>
      <c r="Y10" s="268"/>
      <c r="Z10" s="304"/>
      <c r="AA10" s="310"/>
      <c r="AB10" s="301"/>
      <c r="AC10" s="301"/>
      <c r="AD10" s="312"/>
      <c r="AE10" s="301"/>
      <c r="AF10" s="301"/>
      <c r="AG10" s="317"/>
      <c r="AH10" s="317"/>
      <c r="AI10" s="320"/>
      <c r="AJ10" s="310"/>
      <c r="AK10" s="301"/>
      <c r="AL10" s="301"/>
      <c r="AM10" s="312"/>
      <c r="AN10" s="301"/>
      <c r="AO10" s="301"/>
      <c r="AP10" s="317"/>
      <c r="AQ10" s="317"/>
      <c r="AR10" s="320"/>
      <c r="AS10" s="47" t="s">
        <v>112</v>
      </c>
    </row>
    <row r="11" spans="1:45" s="52" customFormat="1" ht="18" thickBot="1">
      <c r="A11" s="51"/>
      <c r="B11" s="299"/>
      <c r="C11" s="302"/>
      <c r="D11" s="302"/>
      <c r="E11" s="302"/>
      <c r="F11" s="296"/>
      <c r="G11" s="272"/>
      <c r="H11" s="289"/>
      <c r="I11" s="278"/>
      <c r="J11" s="286"/>
      <c r="K11" s="272"/>
      <c r="L11" s="272"/>
      <c r="M11" s="284"/>
      <c r="N11" s="292"/>
      <c r="O11" s="281"/>
      <c r="P11" s="278"/>
      <c r="Q11" s="275"/>
      <c r="R11" s="281"/>
      <c r="S11" s="269"/>
      <c r="T11" s="269"/>
      <c r="U11" s="269"/>
      <c r="V11" s="269"/>
      <c r="W11" s="281"/>
      <c r="X11" s="269"/>
      <c r="Y11" s="269"/>
      <c r="Z11" s="305"/>
      <c r="AA11" s="311"/>
      <c r="AB11" s="302"/>
      <c r="AC11" s="302"/>
      <c r="AD11" s="313"/>
      <c r="AE11" s="302"/>
      <c r="AF11" s="302"/>
      <c r="AG11" s="318"/>
      <c r="AH11" s="318"/>
      <c r="AI11" s="321"/>
      <c r="AJ11" s="311"/>
      <c r="AK11" s="302"/>
      <c r="AL11" s="302"/>
      <c r="AM11" s="313"/>
      <c r="AN11" s="302"/>
      <c r="AO11" s="302"/>
      <c r="AP11" s="318"/>
      <c r="AQ11" s="318"/>
      <c r="AR11" s="321"/>
      <c r="AS11" s="47" t="s">
        <v>112</v>
      </c>
    </row>
    <row r="12" spans="1:45" s="52" customFormat="1" ht="18" thickTop="1">
      <c r="A12" s="51"/>
      <c r="B12" s="91" t="s">
        <v>146</v>
      </c>
      <c r="C12" s="92"/>
      <c r="D12" s="92"/>
      <c r="E12" s="92"/>
      <c r="F12" s="93"/>
      <c r="G12" s="92"/>
      <c r="H12" s="94"/>
      <c r="I12" s="95"/>
      <c r="J12" s="96"/>
      <c r="K12" s="92"/>
      <c r="L12" s="92"/>
      <c r="M12" s="97"/>
      <c r="N12" s="98"/>
      <c r="O12" s="99"/>
      <c r="P12" s="95"/>
      <c r="Q12" s="100"/>
      <c r="R12" s="99"/>
      <c r="S12" s="101"/>
      <c r="T12" s="101"/>
      <c r="U12" s="101"/>
      <c r="V12" s="95"/>
      <c r="W12" s="99"/>
      <c r="X12" s="101"/>
      <c r="Y12" s="102"/>
      <c r="Z12" s="102"/>
      <c r="AA12" s="96"/>
      <c r="AB12" s="92"/>
      <c r="AC12" s="92"/>
      <c r="AD12" s="101"/>
      <c r="AE12" s="92"/>
      <c r="AF12" s="92"/>
      <c r="AG12" s="103"/>
      <c r="AH12" s="103"/>
      <c r="AI12" s="104"/>
      <c r="AJ12" s="96"/>
      <c r="AK12" s="92"/>
      <c r="AL12" s="92"/>
      <c r="AM12" s="101"/>
      <c r="AN12" s="92"/>
      <c r="AO12" s="92"/>
      <c r="AP12" s="103"/>
      <c r="AQ12" s="103"/>
      <c r="AR12" s="104"/>
      <c r="AS12" s="47" t="s">
        <v>112</v>
      </c>
    </row>
    <row r="13" spans="1:45" s="38" customFormat="1" ht="96">
      <c r="A13" s="46"/>
      <c r="B13" s="105">
        <v>1</v>
      </c>
      <c r="C13" s="106" t="s">
        <v>147</v>
      </c>
      <c r="D13" s="107"/>
      <c r="E13" s="125" t="s">
        <v>148</v>
      </c>
      <c r="F13" s="106"/>
      <c r="G13" s="108">
        <f t="shared" ref="G13:G20" si="0">IF(AND(C12&lt;&gt;C13,C13&lt;&gt;""),IF(SUMIFS($Q$13:$Q$82,$C$13:$C$82,$C13)&gt;=1,1,0),"")</f>
        <v>1</v>
      </c>
      <c r="H13" s="109"/>
      <c r="I13" s="110" t="str">
        <f ca="1">IF($G13=1,IF(SUMPRODUCT(MAX(($C$13:$C$82=$C13)*($K$13:$K$82)))=COUNTIF($C13:$C$82,C13)-COUNTBLANK(OFFSET($AF13,0,0,COUNTIF($C13:$C$82,$C13),1)),IF(MAX(OFFSET($AF13,0,0,COUNTIF($C13:$C$82,$C13),1))=0,"",MAX(OFFSET($AF13,0,0,COUNTIF($C13:$C$82,$C13),1))),""),"")</f>
        <v/>
      </c>
      <c r="J13" s="111">
        <f>IF(C13=0,"",IF(C12=C13,SUMPRODUCT(MAX(($C$11:$C12=C13)*($J$11:$J12))+1),1))</f>
        <v>1</v>
      </c>
      <c r="K13" s="108">
        <f>IF(C13=0,0,IF(AND(OR(N13="入力・確認",N13="確認"),O13&lt;&gt;"不要"),IF(C12=C13,SUMPRODUCT(MAX(($C$12:$C12=C13)*($K$12:$K12))+1),1),0))</f>
        <v>0</v>
      </c>
      <c r="L13" s="176"/>
      <c r="M13" s="107" t="s">
        <v>149</v>
      </c>
      <c r="N13" s="112"/>
      <c r="O13" s="113"/>
      <c r="P13" s="114"/>
      <c r="Q13" s="129">
        <f t="shared" ref="Q13:Q75" si="1">IF(AND(OR(N13="入力・確認",N13="確認"),O13&lt;&gt;"不要"),Z13,0)</f>
        <v>0</v>
      </c>
      <c r="R13" s="130" t="s">
        <v>150</v>
      </c>
      <c r="S13" s="124" t="s">
        <v>151</v>
      </c>
      <c r="T13" s="115" t="s">
        <v>152</v>
      </c>
      <c r="U13" s="124"/>
      <c r="V13" s="124"/>
      <c r="W13" s="130"/>
      <c r="X13" s="115" t="s">
        <v>153</v>
      </c>
      <c r="Y13" s="116"/>
      <c r="Z13" s="132"/>
      <c r="AA13" s="117">
        <v>46210</v>
      </c>
      <c r="AB13" s="118" t="s">
        <v>154</v>
      </c>
      <c r="AC13" s="119"/>
      <c r="AD13" s="118"/>
      <c r="AE13" s="118" t="s">
        <v>485</v>
      </c>
      <c r="AF13" s="120"/>
      <c r="AG13" s="115"/>
      <c r="AH13" s="121"/>
      <c r="AI13" s="122"/>
      <c r="AJ13" s="117"/>
      <c r="AK13" s="118"/>
      <c r="AL13" s="119"/>
      <c r="AM13" s="118"/>
      <c r="AN13" s="134"/>
      <c r="AO13" s="120" t="str">
        <f>IF(AN13="OK",IF(AL13&lt;&gt;"",AL13,AJ13),"")</f>
        <v/>
      </c>
      <c r="AP13" s="115"/>
      <c r="AQ13" s="121"/>
      <c r="AR13" s="122"/>
      <c r="AS13" s="36" t="s">
        <v>112</v>
      </c>
    </row>
    <row r="14" spans="1:45" s="38" customFormat="1" ht="80">
      <c r="A14" s="46"/>
      <c r="B14" s="123" t="str">
        <f>IF(AND(C14&lt;&gt;"",C13&lt;&gt;C14),MAX($B$13:B13)+1,"")</f>
        <v/>
      </c>
      <c r="C14" s="106" t="s">
        <v>147</v>
      </c>
      <c r="D14" s="107"/>
      <c r="E14" s="125"/>
      <c r="F14" s="106"/>
      <c r="G14" s="108" t="str">
        <f t="shared" si="0"/>
        <v/>
      </c>
      <c r="H14" s="109" t="str">
        <f ca="1">IF($G14=1,IF(MIN(OFFSET($AA14,0,0,COUNTIF($C14:$C$82,$C14),1))=0,"",MIN(OFFSET($AA14,0,0,COUNTIF($C14:$C$82,$C14),1))),"")</f>
        <v/>
      </c>
      <c r="I14" s="110" t="str">
        <f ca="1">IF($G14=1,IF(SUMPRODUCT(MAX(($C$13:$C$82=$C14)*($K$13:$K$82)))=COUNTIF($C14:$C$82,C14)-COUNTBLANK(OFFSET($AF14,0,0,COUNTIF($C14:$C$82,$C14),1)),IF(MAX(OFFSET($AF14,0,0,COUNTIF($C14:$C$82,$C14),1))=0,"",MAX(OFFSET($AF14,0,0,COUNTIF($C14:$C$82,$C14),1))),""),"")</f>
        <v/>
      </c>
      <c r="J14" s="111">
        <f>IF(C14=0,"",IF(C13=C14,SUMPRODUCT(MAX(($C$11:$C13=C14)*($J$11:$J13))+1),1))</f>
        <v>2</v>
      </c>
      <c r="K14" s="108">
        <f>IF(C14=0,0,IF(AND(OR(N14="入力・確認",N14="確認"),O14&lt;&gt;"不要"),IF(C13=C14,SUMPRODUCT(MAX(($C$12:$C13=C14)*($K$12:$K13))+1),1),0))</f>
        <v>1</v>
      </c>
      <c r="L14" s="176"/>
      <c r="M14" s="107" t="s">
        <v>156</v>
      </c>
      <c r="N14" s="112" t="s">
        <v>157</v>
      </c>
      <c r="O14" s="127"/>
      <c r="P14" s="128"/>
      <c r="Q14" s="129">
        <f t="shared" si="1"/>
        <v>2</v>
      </c>
      <c r="R14" s="130"/>
      <c r="S14" s="124"/>
      <c r="T14" s="115" t="s">
        <v>158</v>
      </c>
      <c r="U14" s="131"/>
      <c r="V14" s="124"/>
      <c r="W14" s="130"/>
      <c r="X14" s="115" t="s">
        <v>159</v>
      </c>
      <c r="Y14" s="116"/>
      <c r="Z14" s="132">
        <v>2</v>
      </c>
      <c r="AA14" s="117">
        <v>46210</v>
      </c>
      <c r="AB14" s="118" t="s">
        <v>154</v>
      </c>
      <c r="AC14" s="119"/>
      <c r="AD14" s="118"/>
      <c r="AE14" s="118" t="s">
        <v>155</v>
      </c>
      <c r="AF14" s="136"/>
      <c r="AG14" s="131"/>
      <c r="AH14" s="137"/>
      <c r="AI14" s="138"/>
      <c r="AJ14" s="117"/>
      <c r="AK14" s="118"/>
      <c r="AL14" s="119"/>
      <c r="AM14" s="118"/>
      <c r="AN14" s="134"/>
      <c r="AO14" s="136" t="str">
        <f t="shared" ref="AO14:AO76" si="2">IF(AN14="OK",IF(AL14&lt;&gt;"",AL14,AJ14),"")</f>
        <v/>
      </c>
      <c r="AP14" s="131"/>
      <c r="AQ14" s="137"/>
      <c r="AR14" s="138"/>
      <c r="AS14" s="36" t="s">
        <v>112</v>
      </c>
    </row>
    <row r="15" spans="1:45" s="38" customFormat="1" ht="32">
      <c r="A15" s="46"/>
      <c r="B15" s="123" t="str">
        <f>IF(AND(C15&lt;&gt;"",C14&lt;&gt;C15),MAX($B$13:B14)+1,"")</f>
        <v/>
      </c>
      <c r="C15" s="106" t="s">
        <v>147</v>
      </c>
      <c r="D15" s="107"/>
      <c r="E15" s="125"/>
      <c r="F15" s="106"/>
      <c r="G15" s="108" t="str">
        <f t="shared" si="0"/>
        <v/>
      </c>
      <c r="H15" s="109" t="str">
        <f ca="1">IF($G15=1,IF(MIN(OFFSET($AA15,0,0,COUNTIF($C15:$C$82,$C15),1))=0,"",MIN(OFFSET($AA15,0,0,COUNTIF($C15:$C$82,$C15),1))),"")</f>
        <v/>
      </c>
      <c r="I15" s="110" t="str">
        <f ca="1">IF($G15=1,IF(SUMPRODUCT(MAX(($C$13:$C$82=$C15)*($K$13:$K$82)))=COUNTIF($C15:$C$82,C15)-COUNTBLANK(OFFSET($AF15,0,0,COUNTIF($C15:$C$82,$C15),1)),IF(MAX(OFFSET($AF15,0,0,COUNTIF($C15:$C$82,$C15),1))=0,"",MAX(OFFSET($AF15,0,0,COUNTIF($C15:$C$82,$C15),1))),""),"")</f>
        <v/>
      </c>
      <c r="J15" s="111">
        <f>IF(C15=0,"",IF(C14=C15,SUMPRODUCT(MAX(($C$11:$C14=C15)*($J$11:$J14))+1),1))</f>
        <v>3</v>
      </c>
      <c r="K15" s="108">
        <f>IF(C15=0,0,IF(AND(OR(N15="入力・確認",N15="確認"),O15&lt;&gt;"不要"),IF(C14=C15,SUMPRODUCT(MAX(($C$12:$C14=C15)*($K$12:$K14))+1),1),0))</f>
        <v>0</v>
      </c>
      <c r="L15" s="176"/>
      <c r="M15" s="107" t="s">
        <v>160</v>
      </c>
      <c r="N15" s="112" t="s">
        <v>53</v>
      </c>
      <c r="O15" s="127"/>
      <c r="P15" s="128"/>
      <c r="Q15" s="129">
        <f t="shared" si="1"/>
        <v>0</v>
      </c>
      <c r="R15" s="130"/>
      <c r="S15" s="124"/>
      <c r="T15" s="115" t="s">
        <v>161</v>
      </c>
      <c r="U15" s="124"/>
      <c r="V15" s="124"/>
      <c r="W15" s="130"/>
      <c r="X15" s="115" t="s">
        <v>162</v>
      </c>
      <c r="Y15" s="116"/>
      <c r="Z15" s="132"/>
      <c r="AA15" s="117">
        <v>46210</v>
      </c>
      <c r="AB15" s="118" t="s">
        <v>154</v>
      </c>
      <c r="AC15" s="119"/>
      <c r="AD15" s="118"/>
      <c r="AE15" s="118" t="s">
        <v>155</v>
      </c>
      <c r="AF15" s="136"/>
      <c r="AG15" s="131"/>
      <c r="AH15" s="137"/>
      <c r="AI15" s="138"/>
      <c r="AJ15" s="117"/>
      <c r="AK15" s="118"/>
      <c r="AL15" s="119"/>
      <c r="AM15" s="118"/>
      <c r="AN15" s="134"/>
      <c r="AO15" s="136" t="str">
        <f t="shared" si="2"/>
        <v/>
      </c>
      <c r="AP15" s="131"/>
      <c r="AQ15" s="137"/>
      <c r="AR15" s="138"/>
      <c r="AS15" s="36" t="s">
        <v>112</v>
      </c>
    </row>
    <row r="16" spans="1:45" s="38" customFormat="1" ht="80">
      <c r="A16" s="46"/>
      <c r="B16" s="123" t="str">
        <f>IF(AND(C16&lt;&gt;"",C15&lt;&gt;C16),MAX($B$13:B15)+1,"")</f>
        <v/>
      </c>
      <c r="C16" s="106" t="s">
        <v>147</v>
      </c>
      <c r="D16" s="107"/>
      <c r="E16" s="125"/>
      <c r="F16" s="106"/>
      <c r="G16" s="108" t="str">
        <f t="shared" si="0"/>
        <v/>
      </c>
      <c r="H16" s="109" t="str">
        <f ca="1">IF($G16=1,IF(MIN(OFFSET($AA16,0,0,COUNTIF($C16:$C$82,$C16),1))=0,"",MIN(OFFSET($AA16,0,0,COUNTIF($C16:$C$82,$C16),1))),"")</f>
        <v/>
      </c>
      <c r="I16" s="110" t="str">
        <f ca="1">IF($G16=1,IF(SUMPRODUCT(MAX(($C$13:$C$82=$C16)*($K$13:$K$82)))=COUNTIF($C16:$C$82,C16)-COUNTBLANK(OFFSET($AF16,0,0,COUNTIF($C16:$C$82,$C16),1)),IF(MAX(OFFSET($AF16,0,0,COUNTIF($C16:$C$82,$C16),1))=0,"",MAX(OFFSET($AF16,0,0,COUNTIF($C16:$C$82,$C16),1))),""),"")</f>
        <v/>
      </c>
      <c r="J16" s="111">
        <f>IF(C16=0,"",IF(C15=C16,SUMPRODUCT(MAX(($C$11:$C15=C16)*($J$11:$J15))+1),1))</f>
        <v>4</v>
      </c>
      <c r="K16" s="108">
        <f>IF(C16=0,0,IF(AND(OR(N16="入力・確認",N16="確認"),O16&lt;&gt;"不要"),IF(C15=C16,SUMPRODUCT(MAX(($C$12:$C15=C16)*($K$12:$K15))+1),1),0))</f>
        <v>2</v>
      </c>
      <c r="L16" s="176"/>
      <c r="M16" s="107" t="s">
        <v>163</v>
      </c>
      <c r="N16" s="112" t="s">
        <v>157</v>
      </c>
      <c r="O16" s="127"/>
      <c r="P16" s="128"/>
      <c r="Q16" s="129">
        <f t="shared" si="1"/>
        <v>2</v>
      </c>
      <c r="R16" s="130"/>
      <c r="S16" s="124"/>
      <c r="T16" s="115" t="s">
        <v>164</v>
      </c>
      <c r="U16" s="124"/>
      <c r="V16" s="124"/>
      <c r="W16" s="130"/>
      <c r="X16" s="115" t="s">
        <v>165</v>
      </c>
      <c r="Y16" s="116"/>
      <c r="Z16" s="132">
        <v>2</v>
      </c>
      <c r="AA16" s="117">
        <v>46210</v>
      </c>
      <c r="AB16" s="118" t="s">
        <v>154</v>
      </c>
      <c r="AC16" s="119"/>
      <c r="AD16" s="118"/>
      <c r="AE16" s="118" t="s">
        <v>155</v>
      </c>
      <c r="AF16" s="136"/>
      <c r="AG16" s="131"/>
      <c r="AH16" s="137"/>
      <c r="AI16" s="138"/>
      <c r="AJ16" s="117"/>
      <c r="AK16" s="118"/>
      <c r="AL16" s="119"/>
      <c r="AM16" s="118"/>
      <c r="AN16" s="134"/>
      <c r="AO16" s="136" t="str">
        <f t="shared" si="2"/>
        <v/>
      </c>
      <c r="AP16" s="131"/>
      <c r="AQ16" s="137"/>
      <c r="AR16" s="138"/>
      <c r="AS16" s="36" t="s">
        <v>112</v>
      </c>
    </row>
    <row r="17" spans="1:45" s="38" customFormat="1" ht="48">
      <c r="A17" s="46"/>
      <c r="B17" s="123" t="str">
        <f>IF(AND(C17&lt;&gt;"",C16&lt;&gt;C17),MAX($B$13:B16)+1,"")</f>
        <v/>
      </c>
      <c r="C17" s="106" t="s">
        <v>147</v>
      </c>
      <c r="D17" s="107"/>
      <c r="E17" s="125"/>
      <c r="F17" s="106"/>
      <c r="G17" s="108" t="str">
        <f t="shared" si="0"/>
        <v/>
      </c>
      <c r="H17" s="109" t="str">
        <f ca="1">IF($G17=1,IF(MIN(OFFSET($AA17,0,0,COUNTIF($C17:$C$82,$C17),1))=0,"",MIN(OFFSET($AA17,0,0,COUNTIF($C17:$C$82,$C17),1))),"")</f>
        <v/>
      </c>
      <c r="I17" s="110" t="str">
        <f ca="1">IF($G17=1,IF(SUMPRODUCT(MAX(($C$13:$C$82=$C17)*($K$13:$K$82)))=COUNTIF($C17:$C$82,C17)-COUNTBLANK(OFFSET($AF17,0,0,COUNTIF($C17:$C$82,$C17),1)),IF(MAX(OFFSET($AF17,0,0,COUNTIF($C17:$C$82,$C17),1))=0,"",MAX(OFFSET($AF17,0,0,COUNTIF($C17:$C$82,$C17),1))),""),"")</f>
        <v/>
      </c>
      <c r="J17" s="111">
        <f>IF(C17=0,"",IF(C16=C17,SUMPRODUCT(MAX(($C$11:$C16=C17)*($J$11:$J16))+1),1))</f>
        <v>5</v>
      </c>
      <c r="K17" s="108">
        <f>IF(C17=0,0,IF(AND(OR(N17="入力・確認",N17="確認"),O17&lt;&gt;"不要"),IF(C16=C17,SUMPRODUCT(MAX(($C$12:$C16=C17)*($K$12:$K16))+1),1),0))</f>
        <v>3</v>
      </c>
      <c r="L17" s="176"/>
      <c r="M17" s="107" t="s">
        <v>166</v>
      </c>
      <c r="N17" s="112" t="s">
        <v>157</v>
      </c>
      <c r="O17" s="127"/>
      <c r="P17" s="128"/>
      <c r="Q17" s="129">
        <f t="shared" si="1"/>
        <v>2</v>
      </c>
      <c r="R17" s="130"/>
      <c r="S17" s="124"/>
      <c r="T17" s="115" t="s">
        <v>167</v>
      </c>
      <c r="U17" s="124"/>
      <c r="V17" s="124"/>
      <c r="W17" s="130"/>
      <c r="X17" s="115" t="s">
        <v>168</v>
      </c>
      <c r="Y17" s="116"/>
      <c r="Z17" s="132">
        <v>2</v>
      </c>
      <c r="AA17" s="117">
        <v>46210</v>
      </c>
      <c r="AB17" s="118" t="s">
        <v>154</v>
      </c>
      <c r="AC17" s="119"/>
      <c r="AD17" s="118"/>
      <c r="AE17" s="118" t="s">
        <v>155</v>
      </c>
      <c r="AF17" s="136"/>
      <c r="AG17" s="131"/>
      <c r="AH17" s="137"/>
      <c r="AI17" s="138"/>
      <c r="AJ17" s="117"/>
      <c r="AK17" s="118"/>
      <c r="AL17" s="119"/>
      <c r="AM17" s="118"/>
      <c r="AN17" s="134"/>
      <c r="AO17" s="136" t="str">
        <f t="shared" si="2"/>
        <v/>
      </c>
      <c r="AP17" s="131"/>
      <c r="AQ17" s="137"/>
      <c r="AR17" s="138"/>
      <c r="AS17" s="36" t="s">
        <v>112</v>
      </c>
    </row>
    <row r="18" spans="1:45" s="38" customFormat="1" ht="32">
      <c r="A18" s="46"/>
      <c r="B18" s="123" t="str">
        <f>IF(AND(C18&lt;&gt;"",C17&lt;&gt;C18),MAX($B$13:B17)+1,"")</f>
        <v/>
      </c>
      <c r="C18" s="106" t="s">
        <v>147</v>
      </c>
      <c r="D18" s="107"/>
      <c r="E18" s="125"/>
      <c r="F18" s="106"/>
      <c r="G18" s="108" t="str">
        <f t="shared" si="0"/>
        <v/>
      </c>
      <c r="H18" s="109" t="str">
        <f ca="1">IF($G18=1,IF(MIN(OFFSET($AA18,0,0,COUNTIF($C18:$C$82,$C18),1))=0,"",MIN(OFFSET($AA18,0,0,COUNTIF($C18:$C$82,$C18),1))),"")</f>
        <v/>
      </c>
      <c r="I18" s="110" t="str">
        <f ca="1">IF($G18=1,IF(SUMPRODUCT(MAX(($C$13:$C$82=$C18)*($K$13:$K$82)))=COUNTIF($C18:$C$82,C18)-COUNTBLANK(OFFSET($AF18,0,0,COUNTIF($C18:$C$82,$C18),1)),IF(MAX(OFFSET($AF18,0,0,COUNTIF($C18:$C$82,$C18),1))=0,"",MAX(OFFSET($AF18,0,0,COUNTIF($C18:$C$82,$C18),1))),""),"")</f>
        <v/>
      </c>
      <c r="J18" s="111">
        <f>IF(C18=0,"",IF(C17=C18,SUMPRODUCT(MAX(($C$11:$C17=C18)*($J$11:$J17))+1),1))</f>
        <v>6</v>
      </c>
      <c r="K18" s="108">
        <f>IF(C18=0,0,IF(AND(OR(N18="入力・確認",N18="確認"),O18&lt;&gt;"不要"),IF(C17=C18,SUMPRODUCT(MAX(($C$12:$C17=C18)*($K$12:$K17))+1),1),0))</f>
        <v>0</v>
      </c>
      <c r="L18" s="176"/>
      <c r="M18" s="107" t="s">
        <v>169</v>
      </c>
      <c r="N18" s="112" t="s">
        <v>53</v>
      </c>
      <c r="O18" s="127"/>
      <c r="P18" s="128"/>
      <c r="Q18" s="129">
        <f t="shared" si="1"/>
        <v>0</v>
      </c>
      <c r="R18" s="130"/>
      <c r="S18" s="124"/>
      <c r="T18" s="115" t="s">
        <v>170</v>
      </c>
      <c r="U18" s="124"/>
      <c r="V18" s="124"/>
      <c r="W18" s="130"/>
      <c r="X18" s="115" t="s">
        <v>171</v>
      </c>
      <c r="Y18" s="116"/>
      <c r="Z18" s="132"/>
      <c r="AA18" s="117">
        <v>46210</v>
      </c>
      <c r="AB18" s="118" t="s">
        <v>154</v>
      </c>
      <c r="AC18" s="119"/>
      <c r="AD18" s="118"/>
      <c r="AE18" s="118" t="s">
        <v>155</v>
      </c>
      <c r="AF18" s="136"/>
      <c r="AG18" s="131"/>
      <c r="AH18" s="137"/>
      <c r="AI18" s="138"/>
      <c r="AJ18" s="117"/>
      <c r="AK18" s="118"/>
      <c r="AL18" s="119"/>
      <c r="AM18" s="118"/>
      <c r="AN18" s="134"/>
      <c r="AO18" s="136" t="str">
        <f t="shared" si="2"/>
        <v/>
      </c>
      <c r="AP18" s="131"/>
      <c r="AQ18" s="137"/>
      <c r="AR18" s="138"/>
      <c r="AS18" s="36"/>
    </row>
    <row r="19" spans="1:45" s="38" customFormat="1" ht="80">
      <c r="A19" s="46"/>
      <c r="B19" s="123" t="str">
        <f>IF(AND(C19&lt;&gt;"",C18&lt;&gt;C19),MAX($B$13:B18)+1,"")</f>
        <v/>
      </c>
      <c r="C19" s="106" t="s">
        <v>147</v>
      </c>
      <c r="D19" s="107"/>
      <c r="E19" s="125"/>
      <c r="F19" s="106"/>
      <c r="G19" s="108" t="str">
        <f t="shared" si="0"/>
        <v/>
      </c>
      <c r="H19" s="109" t="str">
        <f ca="1">IF($G19=1,IF(MIN(OFFSET($AA19,0,0,COUNTIF($C19:$C$82,$C19),1))=0,"",MIN(OFFSET($AA19,0,0,COUNTIF($C19:$C$82,$C19),1))),"")</f>
        <v/>
      </c>
      <c r="I19" s="110" t="str">
        <f ca="1">IF($G19=1,IF(SUMPRODUCT(MAX(($C$13:$C$82=$C19)*($K$13:$K$82)))=COUNTIF($C19:$C$82,C19)-COUNTBLANK(OFFSET($AF19,0,0,COUNTIF($C19:$C$82,$C19),1)),IF(MAX(OFFSET($AF19,0,0,COUNTIF($C19:$C$82,$C19),1))=0,"",MAX(OFFSET($AF19,0,0,COUNTIF($C19:$C$82,$C19),1))),""),"")</f>
        <v/>
      </c>
      <c r="J19" s="111">
        <f>IF(C19=0,"",IF(C18=C19,SUMPRODUCT(MAX(($C$11:$C18=C19)*($J$11:$J18))+1),1))</f>
        <v>7</v>
      </c>
      <c r="K19" s="108">
        <f>IF(C19=0,0,IF(AND(OR(N19="入力・確認",N19="確認"),O19&lt;&gt;"不要"),IF(C18=C19,SUMPRODUCT(MAX(($C$12:$C18=C19)*($K$12:$K18))+1),1),0))</f>
        <v>4</v>
      </c>
      <c r="L19" s="176"/>
      <c r="M19" s="107" t="s">
        <v>172</v>
      </c>
      <c r="N19" s="112" t="s">
        <v>157</v>
      </c>
      <c r="O19" s="127"/>
      <c r="P19" s="128"/>
      <c r="Q19" s="129">
        <f t="shared" si="1"/>
        <v>2</v>
      </c>
      <c r="R19" s="130"/>
      <c r="S19" s="124"/>
      <c r="T19" s="115" t="s">
        <v>173</v>
      </c>
      <c r="U19" s="131"/>
      <c r="V19" s="124"/>
      <c r="W19" s="130"/>
      <c r="X19" s="115" t="s">
        <v>174</v>
      </c>
      <c r="Y19" s="116"/>
      <c r="Z19" s="132">
        <v>2</v>
      </c>
      <c r="AA19" s="117">
        <v>46210</v>
      </c>
      <c r="AB19" s="118" t="s">
        <v>154</v>
      </c>
      <c r="AC19" s="119"/>
      <c r="AD19" s="118"/>
      <c r="AE19" s="118" t="s">
        <v>155</v>
      </c>
      <c r="AF19" s="136"/>
      <c r="AG19" s="131"/>
      <c r="AH19" s="137"/>
      <c r="AI19" s="138"/>
      <c r="AJ19" s="117"/>
      <c r="AK19" s="118"/>
      <c r="AL19" s="119"/>
      <c r="AM19" s="118"/>
      <c r="AN19" s="134"/>
      <c r="AO19" s="136" t="str">
        <f t="shared" si="2"/>
        <v/>
      </c>
      <c r="AP19" s="131"/>
      <c r="AQ19" s="137"/>
      <c r="AR19" s="138"/>
      <c r="AS19" s="36"/>
    </row>
    <row r="20" spans="1:45" s="38" customFormat="1" ht="96">
      <c r="A20" s="46"/>
      <c r="B20" s="123">
        <f>IF(AND(C20&lt;&gt;"",C19&lt;&gt;C20),MAX($B$13:B19)+1,"")</f>
        <v>2</v>
      </c>
      <c r="C20" s="106" t="s">
        <v>175</v>
      </c>
      <c r="D20" s="107"/>
      <c r="E20" s="125" t="s">
        <v>176</v>
      </c>
      <c r="F20" s="106"/>
      <c r="G20" s="108">
        <f t="shared" si="0"/>
        <v>0</v>
      </c>
      <c r="H20" s="109" t="str">
        <f ca="1">IF($G20=1,IF(MIN(OFFSET($AA20,0,0,COUNTIF($C20:$C$82,$C20),1))=0,"",MIN(OFFSET($AA20,0,0,COUNTIF($C20:$C$82,$C20),1))),"")</f>
        <v/>
      </c>
      <c r="I20" s="110" t="str">
        <f ca="1">IF($G20=1,IF(SUMPRODUCT(MAX(($C$13:$C$82=$C20)*($K$13:$K$82)))=COUNTIF($C20:$C$82,C20)-COUNTBLANK(OFFSET($AF20,0,0,COUNTIF($C20:$C$82,$C20),1)),IF(MAX(OFFSET($AF20,0,0,COUNTIF($C20:$C$82,$C20),1))=0,"",MAX(OFFSET($AF20,0,0,COUNTIF($C20:$C$82,$C20),1))),""),"")</f>
        <v/>
      </c>
      <c r="J20" s="111">
        <f>IF(C20=0,"",IF(C19=C20,SUMPRODUCT(MAX(($C$11:$C19=C20)*($J$11:$J19))+1),1))</f>
        <v>1</v>
      </c>
      <c r="K20" s="108">
        <f>IF(C20=0,0,IF(AND(OR(N20="入力・確認",N20="確認"),O20&lt;&gt;"不要"),IF(C19=C20,SUMPRODUCT(MAX(($C$12:$C19=C20)*($K$12:$K19))+1),1),0))</f>
        <v>1</v>
      </c>
      <c r="L20" s="176"/>
      <c r="M20" s="107" t="s">
        <v>149</v>
      </c>
      <c r="N20" s="112" t="s">
        <v>157</v>
      </c>
      <c r="O20" s="127"/>
      <c r="P20" s="128"/>
      <c r="Q20" s="129">
        <f t="shared" si="1"/>
        <v>0</v>
      </c>
      <c r="R20" s="130" t="s">
        <v>150</v>
      </c>
      <c r="S20" s="124" t="s">
        <v>151</v>
      </c>
      <c r="T20" s="115" t="s">
        <v>177</v>
      </c>
      <c r="U20" s="124"/>
      <c r="V20" s="124"/>
      <c r="W20" s="130"/>
      <c r="X20" s="115" t="s">
        <v>178</v>
      </c>
      <c r="Y20" s="116"/>
      <c r="Z20" s="132"/>
      <c r="AA20" s="117"/>
      <c r="AB20" s="118"/>
      <c r="AC20" s="119"/>
      <c r="AD20" s="118"/>
      <c r="AE20" s="118"/>
      <c r="AF20" s="136"/>
      <c r="AG20" s="131"/>
      <c r="AH20" s="137"/>
      <c r="AI20" s="138"/>
      <c r="AJ20" s="117"/>
      <c r="AK20" s="118"/>
      <c r="AL20" s="135"/>
      <c r="AM20" s="134"/>
      <c r="AN20" s="134"/>
      <c r="AO20" s="136" t="str">
        <f t="shared" si="2"/>
        <v/>
      </c>
      <c r="AP20" s="131"/>
      <c r="AQ20" s="137"/>
      <c r="AR20" s="138"/>
      <c r="AS20" s="36"/>
    </row>
    <row r="21" spans="1:45" s="38" customFormat="1" ht="80">
      <c r="A21" s="46"/>
      <c r="B21" s="123" t="str">
        <f>IF(AND(C21&lt;&gt;"",C20&lt;&gt;C21),MAX($B$13:B20)+1,"")</f>
        <v/>
      </c>
      <c r="C21" s="106" t="s">
        <v>175</v>
      </c>
      <c r="D21" s="107"/>
      <c r="E21" s="125"/>
      <c r="F21" s="106"/>
      <c r="G21" s="108" t="str">
        <f t="shared" ref="G21:G82" si="3">IF(AND(C20&lt;&gt;C21,C21&lt;&gt;""),IF(SUMIFS($Q$13:$Q$82,$C$13:$C$82,$C21)&gt;=1,1,0),"")</f>
        <v/>
      </c>
      <c r="H21" s="109" t="str">
        <f ca="1">IF($G21=1,IF(MIN(OFFSET($AA21,0,0,COUNTIF($C21:$C$82,$C21),1))=0,"",MIN(OFFSET($AA21,0,0,COUNTIF($C21:$C$82,$C21),1))),"")</f>
        <v/>
      </c>
      <c r="I21" s="110" t="str">
        <f ca="1">IF($G21=1,IF(SUMPRODUCT(MAX(($C$13:$C$82=$C21)*($K$13:$K$82)))=COUNTIF($C21:$C$82,C21)-COUNTBLANK(OFFSET($AF21,0,0,COUNTIF($C21:$C$82,$C21),1)),IF(MAX(OFFSET($AF21,0,0,COUNTIF($C21:$C$82,$C21),1))=0,"",MAX(OFFSET($AF21,0,0,COUNTIF($C21:$C$82,$C21),1))),""),"")</f>
        <v/>
      </c>
      <c r="J21" s="111">
        <f>IF(C21=0,"",IF(C20=C21,SUMPRODUCT(MAX(($C$11:$C20=C21)*($J$11:$J20))+1),1))</f>
        <v>2</v>
      </c>
      <c r="K21" s="108">
        <f>IF(C21=0,0,IF(AND(OR(N21="入力・確認",N21="確認"),O21&lt;&gt;"不要"),IF(C20=C21,SUMPRODUCT(MAX(($C$12:$C20=C21)*($K$12:$K20))+1),1),0))</f>
        <v>0</v>
      </c>
      <c r="L21" s="176"/>
      <c r="M21" s="107" t="s">
        <v>156</v>
      </c>
      <c r="N21" s="112"/>
      <c r="O21" s="127"/>
      <c r="P21" s="128"/>
      <c r="Q21" s="129">
        <f t="shared" si="1"/>
        <v>0</v>
      </c>
      <c r="R21" s="130"/>
      <c r="S21" s="124"/>
      <c r="T21" s="115" t="s">
        <v>179</v>
      </c>
      <c r="U21" s="131"/>
      <c r="V21" s="124"/>
      <c r="W21" s="130"/>
      <c r="X21" s="115" t="s">
        <v>180</v>
      </c>
      <c r="Y21" s="116"/>
      <c r="Z21" s="132">
        <v>2</v>
      </c>
      <c r="AA21" s="117"/>
      <c r="AB21" s="118"/>
      <c r="AC21" s="135"/>
      <c r="AD21" s="134"/>
      <c r="AE21" s="118"/>
      <c r="AF21" s="136"/>
      <c r="AG21" s="131"/>
      <c r="AH21" s="137"/>
      <c r="AI21" s="138"/>
      <c r="AJ21" s="117"/>
      <c r="AK21" s="118"/>
      <c r="AL21" s="135"/>
      <c r="AM21" s="134"/>
      <c r="AN21" s="134"/>
      <c r="AO21" s="136" t="str">
        <f t="shared" si="2"/>
        <v/>
      </c>
      <c r="AP21" s="131"/>
      <c r="AQ21" s="137"/>
      <c r="AR21" s="138"/>
      <c r="AS21" s="36"/>
    </row>
    <row r="22" spans="1:45" s="38" customFormat="1" ht="32">
      <c r="A22" s="46"/>
      <c r="B22" s="123" t="str">
        <f>IF(AND(C22&lt;&gt;"",C21&lt;&gt;C22),MAX($B$13:B21)+1,"")</f>
        <v/>
      </c>
      <c r="C22" s="106" t="s">
        <v>175</v>
      </c>
      <c r="D22" s="107"/>
      <c r="E22" s="125"/>
      <c r="F22" s="106"/>
      <c r="G22" s="108" t="str">
        <f t="shared" si="3"/>
        <v/>
      </c>
      <c r="H22" s="109" t="str">
        <f ca="1">IF($G22=1,IF(MIN(OFFSET($AA22,0,0,COUNTIF($C22:$C$82,$C22),1))=0,"",MIN(OFFSET($AA22,0,0,COUNTIF($C22:$C$82,$C22),1))),"")</f>
        <v/>
      </c>
      <c r="I22" s="110" t="str">
        <f ca="1">IF($G22=1,IF(SUMPRODUCT(MAX(($C$13:$C$82=$C22)*($K$13:$K$82)))=COUNTIF($C22:$C$82,C22)-COUNTBLANK(OFFSET($AF22,0,0,COUNTIF($C22:$C$82,$C22),1)),IF(MAX(OFFSET($AF22,0,0,COUNTIF($C22:$C$82,$C22),1))=0,"",MAX(OFFSET($AF22,0,0,COUNTIF($C22:$C$82,$C22),1))),""),"")</f>
        <v/>
      </c>
      <c r="J22" s="111">
        <f>IF(C22=0,"",IF(C21=C22,SUMPRODUCT(MAX(($C$11:$C21=C22)*($J$11:$J21))+1),1))</f>
        <v>3</v>
      </c>
      <c r="K22" s="108">
        <f>IF(C22=0,0,IF(AND(OR(N22="入力・確認",N22="確認"),O22&lt;&gt;"不要"),IF(C21=C22,SUMPRODUCT(MAX(($C$12:$C21=C22)*($K$12:$K21))+1),1),0))</f>
        <v>0</v>
      </c>
      <c r="L22" s="176"/>
      <c r="M22" s="107" t="s">
        <v>160</v>
      </c>
      <c r="N22" s="112"/>
      <c r="O22" s="127"/>
      <c r="P22" s="128"/>
      <c r="Q22" s="129">
        <f t="shared" si="1"/>
        <v>0</v>
      </c>
      <c r="R22" s="130"/>
      <c r="S22" s="124"/>
      <c r="T22" s="115" t="s">
        <v>181</v>
      </c>
      <c r="U22" s="124"/>
      <c r="V22" s="124"/>
      <c r="W22" s="130"/>
      <c r="X22" s="115" t="s">
        <v>182</v>
      </c>
      <c r="Y22" s="116"/>
      <c r="Z22" s="132"/>
      <c r="AA22" s="117"/>
      <c r="AB22" s="118"/>
      <c r="AC22" s="135"/>
      <c r="AD22" s="134"/>
      <c r="AE22" s="118"/>
      <c r="AF22" s="136"/>
      <c r="AG22" s="131"/>
      <c r="AH22" s="137"/>
      <c r="AI22" s="138"/>
      <c r="AJ22" s="117"/>
      <c r="AK22" s="118"/>
      <c r="AL22" s="135"/>
      <c r="AM22" s="134"/>
      <c r="AN22" s="134"/>
      <c r="AO22" s="136" t="str">
        <f t="shared" si="2"/>
        <v/>
      </c>
      <c r="AP22" s="131"/>
      <c r="AQ22" s="137"/>
      <c r="AR22" s="138"/>
      <c r="AS22" s="36"/>
    </row>
    <row r="23" spans="1:45" s="38" customFormat="1" ht="80">
      <c r="A23" s="46"/>
      <c r="B23" s="123" t="str">
        <f>IF(AND(C23&lt;&gt;"",C22&lt;&gt;C23),MAX($B$13:B22)+1,"")</f>
        <v/>
      </c>
      <c r="C23" s="106" t="s">
        <v>175</v>
      </c>
      <c r="D23" s="107"/>
      <c r="E23" s="125"/>
      <c r="F23" s="106"/>
      <c r="G23" s="108" t="str">
        <f t="shared" si="3"/>
        <v/>
      </c>
      <c r="H23" s="109" t="str">
        <f ca="1">IF($G23=1,IF(MIN(OFFSET($AA23,0,0,COUNTIF($C23:$C$82,$C23),1))=0,"",MIN(OFFSET($AA23,0,0,COUNTIF($C23:$C$82,$C23),1))),"")</f>
        <v/>
      </c>
      <c r="I23" s="110" t="str">
        <f ca="1">IF($G23=1,IF(SUMPRODUCT(MAX(($C$13:$C$82=$C23)*($K$13:$K$82)))=COUNTIF($C23:$C$82,C23)-COUNTBLANK(OFFSET($AF23,0,0,COUNTIF($C23:$C$82,$C23),1)),IF(MAX(OFFSET($AF23,0,0,COUNTIF($C23:$C$82,$C23),1))=0,"",MAX(OFFSET($AF23,0,0,COUNTIF($C23:$C$82,$C23),1))),""),"")</f>
        <v/>
      </c>
      <c r="J23" s="111">
        <f>IF(C23=0,"",IF(C22=C23,SUMPRODUCT(MAX(($C$11:$C22=C23)*($J$11:$J22))+1),1))</f>
        <v>4</v>
      </c>
      <c r="K23" s="108">
        <f>IF(C23=0,0,IF(AND(OR(N23="入力・確認",N23="確認"),O23&lt;&gt;"不要"),IF(C22=C23,SUMPRODUCT(MAX(($C$12:$C22=C23)*($K$12:$K22))+1),1),0))</f>
        <v>0</v>
      </c>
      <c r="L23" s="176"/>
      <c r="M23" s="107" t="s">
        <v>163</v>
      </c>
      <c r="N23" s="112"/>
      <c r="O23" s="127"/>
      <c r="P23" s="128"/>
      <c r="Q23" s="129">
        <f t="shared" si="1"/>
        <v>0</v>
      </c>
      <c r="R23" s="130"/>
      <c r="S23" s="124"/>
      <c r="T23" s="115" t="s">
        <v>183</v>
      </c>
      <c r="U23" s="124"/>
      <c r="V23" s="124"/>
      <c r="W23" s="130"/>
      <c r="X23" s="115" t="s">
        <v>184</v>
      </c>
      <c r="Y23" s="116"/>
      <c r="Z23" s="132">
        <v>2</v>
      </c>
      <c r="AA23" s="117"/>
      <c r="AB23" s="118"/>
      <c r="AC23" s="135"/>
      <c r="AD23" s="134"/>
      <c r="AE23" s="118"/>
      <c r="AF23" s="136"/>
      <c r="AG23" s="131"/>
      <c r="AH23" s="137"/>
      <c r="AI23" s="138"/>
      <c r="AJ23" s="117"/>
      <c r="AK23" s="118"/>
      <c r="AL23" s="135"/>
      <c r="AM23" s="134"/>
      <c r="AN23" s="134"/>
      <c r="AO23" s="136" t="str">
        <f t="shared" si="2"/>
        <v/>
      </c>
      <c r="AP23" s="131"/>
      <c r="AQ23" s="137"/>
      <c r="AR23" s="138"/>
      <c r="AS23" s="36"/>
    </row>
    <row r="24" spans="1:45" s="38" customFormat="1" ht="48">
      <c r="A24" s="46"/>
      <c r="B24" s="123" t="str">
        <f>IF(AND(C24&lt;&gt;"",C23&lt;&gt;C24),MAX($B$13:B23)+1,"")</f>
        <v/>
      </c>
      <c r="C24" s="106" t="s">
        <v>175</v>
      </c>
      <c r="D24" s="107"/>
      <c r="E24" s="125"/>
      <c r="F24" s="106"/>
      <c r="G24" s="108" t="str">
        <f t="shared" si="3"/>
        <v/>
      </c>
      <c r="H24" s="109" t="str">
        <f ca="1">IF($G24=1,IF(MIN(OFFSET($AA24,0,0,COUNTIF($C24:$C$82,$C24),1))=0,"",MIN(OFFSET($AA24,0,0,COUNTIF($C24:$C$82,$C24),1))),"")</f>
        <v/>
      </c>
      <c r="I24" s="110" t="str">
        <f ca="1">IF($G24=1,IF(SUMPRODUCT(MAX(($C$13:$C$82=$C24)*($K$13:$K$82)))=COUNTIF($C24:$C$82,C24)-COUNTBLANK(OFFSET($AF24,0,0,COUNTIF($C24:$C$82,$C24),1)),IF(MAX(OFFSET($AF24,0,0,COUNTIF($C24:$C$82,$C24),1))=0,"",MAX(OFFSET($AF24,0,0,COUNTIF($C24:$C$82,$C24),1))),""),"")</f>
        <v/>
      </c>
      <c r="J24" s="111">
        <f>IF(C24=0,"",IF(C23=C24,SUMPRODUCT(MAX(($C$11:$C23=C24)*($J$11:$J23))+1),1))</f>
        <v>5</v>
      </c>
      <c r="K24" s="108">
        <f>IF(C24=0,0,IF(AND(OR(N24="入力・確認",N24="確認"),O24&lt;&gt;"不要"),IF(C23=C24,SUMPRODUCT(MAX(($C$12:$C23=C24)*($K$12:$K23))+1),1),0))</f>
        <v>0</v>
      </c>
      <c r="L24" s="176"/>
      <c r="M24" s="107" t="s">
        <v>166</v>
      </c>
      <c r="N24" s="112"/>
      <c r="O24" s="127"/>
      <c r="P24" s="128"/>
      <c r="Q24" s="129">
        <f t="shared" si="1"/>
        <v>0</v>
      </c>
      <c r="R24" s="130"/>
      <c r="S24" s="124"/>
      <c r="T24" s="115" t="s">
        <v>185</v>
      </c>
      <c r="U24" s="124"/>
      <c r="V24" s="124"/>
      <c r="W24" s="130"/>
      <c r="X24" s="115" t="s">
        <v>186</v>
      </c>
      <c r="Y24" s="116"/>
      <c r="Z24" s="132">
        <v>2</v>
      </c>
      <c r="AA24" s="117"/>
      <c r="AB24" s="118"/>
      <c r="AC24" s="135"/>
      <c r="AD24" s="134"/>
      <c r="AE24" s="118"/>
      <c r="AF24" s="136"/>
      <c r="AG24" s="131"/>
      <c r="AH24" s="137"/>
      <c r="AI24" s="138"/>
      <c r="AJ24" s="117"/>
      <c r="AK24" s="118"/>
      <c r="AL24" s="135"/>
      <c r="AM24" s="134"/>
      <c r="AN24" s="134"/>
      <c r="AO24" s="136" t="str">
        <f t="shared" si="2"/>
        <v/>
      </c>
      <c r="AP24" s="131"/>
      <c r="AQ24" s="137"/>
      <c r="AR24" s="138"/>
      <c r="AS24" s="36"/>
    </row>
    <row r="25" spans="1:45" s="38" customFormat="1" ht="32">
      <c r="A25" s="46"/>
      <c r="B25" s="123" t="str">
        <f>IF(AND(C25&lt;&gt;"",C24&lt;&gt;C25),MAX($B$13:B24)+1,"")</f>
        <v/>
      </c>
      <c r="C25" s="106" t="s">
        <v>175</v>
      </c>
      <c r="D25" s="107"/>
      <c r="E25" s="125"/>
      <c r="F25" s="106"/>
      <c r="G25" s="108" t="str">
        <f t="shared" si="3"/>
        <v/>
      </c>
      <c r="H25" s="109" t="str">
        <f ca="1">IF($G25=1,IF(MIN(OFFSET($AA25,0,0,COUNTIF($C25:$C$82,$C25),1))=0,"",MIN(OFFSET($AA25,0,0,COUNTIF($C25:$C$82,$C25),1))),"")</f>
        <v/>
      </c>
      <c r="I25" s="110" t="str">
        <f ca="1">IF($G25=1,IF(SUMPRODUCT(MAX(($C$13:$C$82=$C25)*($K$13:$K$82)))=COUNTIF($C25:$C$82,C25)-COUNTBLANK(OFFSET($AF25,0,0,COUNTIF($C25:$C$82,$C25),1)),IF(MAX(OFFSET($AF25,0,0,COUNTIF($C25:$C$82,$C25),1))=0,"",MAX(OFFSET($AF25,0,0,COUNTIF($C25:$C$82,$C25),1))),""),"")</f>
        <v/>
      </c>
      <c r="J25" s="111">
        <f>IF(C25=0,"",IF(C24=C25,SUMPRODUCT(MAX(($C$11:$C24=C25)*($J$11:$J24))+1),1))</f>
        <v>6</v>
      </c>
      <c r="K25" s="108">
        <f>IF(C25=0,0,IF(AND(OR(N25="入力・確認",N25="確認"),O25&lt;&gt;"不要"),IF(C24=C25,SUMPRODUCT(MAX(($C$12:$C24=C25)*($K$12:$K24))+1),1),0))</f>
        <v>0</v>
      </c>
      <c r="L25" s="176"/>
      <c r="M25" s="107" t="s">
        <v>169</v>
      </c>
      <c r="N25" s="112"/>
      <c r="O25" s="127"/>
      <c r="P25" s="128"/>
      <c r="Q25" s="129">
        <f t="shared" si="1"/>
        <v>0</v>
      </c>
      <c r="R25" s="130"/>
      <c r="S25" s="124"/>
      <c r="T25" s="115" t="s">
        <v>187</v>
      </c>
      <c r="U25" s="124"/>
      <c r="V25" s="124"/>
      <c r="W25" s="130"/>
      <c r="X25" s="115" t="s">
        <v>188</v>
      </c>
      <c r="Y25" s="116"/>
      <c r="Z25" s="132"/>
      <c r="AA25" s="117"/>
      <c r="AB25" s="118"/>
      <c r="AC25" s="135"/>
      <c r="AD25" s="134"/>
      <c r="AE25" s="118"/>
      <c r="AF25" s="136"/>
      <c r="AG25" s="131"/>
      <c r="AH25" s="137"/>
      <c r="AI25" s="138"/>
      <c r="AJ25" s="117"/>
      <c r="AK25" s="118"/>
      <c r="AL25" s="135"/>
      <c r="AM25" s="134"/>
      <c r="AN25" s="134"/>
      <c r="AO25" s="136" t="str">
        <f t="shared" si="2"/>
        <v/>
      </c>
      <c r="AP25" s="131"/>
      <c r="AQ25" s="137"/>
      <c r="AR25" s="138"/>
      <c r="AS25" s="36"/>
    </row>
    <row r="26" spans="1:45" s="38" customFormat="1" ht="80">
      <c r="A26" s="46"/>
      <c r="B26" s="123" t="str">
        <f>IF(AND(C26&lt;&gt;"",C25&lt;&gt;C26),MAX($B$13:B25)+1,"")</f>
        <v/>
      </c>
      <c r="C26" s="106" t="s">
        <v>175</v>
      </c>
      <c r="D26" s="107"/>
      <c r="E26" s="125"/>
      <c r="F26" s="106"/>
      <c r="G26" s="108" t="str">
        <f t="shared" si="3"/>
        <v/>
      </c>
      <c r="H26" s="109" t="str">
        <f ca="1">IF($G26=1,IF(MIN(OFFSET($AA26,0,0,COUNTIF($C26:$C$82,$C26),1))=0,"",MIN(OFFSET($AA26,0,0,COUNTIF($C26:$C$82,$C26),1))),"")</f>
        <v/>
      </c>
      <c r="I26" s="110" t="str">
        <f ca="1">IF($G26=1,IF(SUMPRODUCT(MAX(($C$13:$C$82=$C26)*($K$13:$K$82)))=COUNTIF($C26:$C$82,C26)-COUNTBLANK(OFFSET($AF26,0,0,COUNTIF($C26:$C$82,$C26),1)),IF(MAX(OFFSET($AF26,0,0,COUNTIF($C26:$C$82,$C26),1))=0,"",MAX(OFFSET($AF26,0,0,COUNTIF($C26:$C$82,$C26),1))),""),"")</f>
        <v/>
      </c>
      <c r="J26" s="111">
        <f>IF(C26=0,"",IF(C25=C26,SUMPRODUCT(MAX(($C$11:$C25=C26)*($J$11:$J25))+1),1))</f>
        <v>7</v>
      </c>
      <c r="K26" s="108">
        <f>IF(C26=0,0,IF(AND(OR(N26="入力・確認",N26="確認"),O26&lt;&gt;"不要"),IF(C25=C26,SUMPRODUCT(MAX(($C$12:$C25=C26)*($K$12:$K25))+1),1),0))</f>
        <v>0</v>
      </c>
      <c r="L26" s="176"/>
      <c r="M26" s="107" t="s">
        <v>172</v>
      </c>
      <c r="N26" s="112"/>
      <c r="O26" s="127"/>
      <c r="P26" s="128"/>
      <c r="Q26" s="129">
        <f t="shared" si="1"/>
        <v>0</v>
      </c>
      <c r="R26" s="130"/>
      <c r="S26" s="124"/>
      <c r="T26" s="115" t="s">
        <v>189</v>
      </c>
      <c r="U26" s="131"/>
      <c r="V26" s="124"/>
      <c r="W26" s="130"/>
      <c r="X26" s="115" t="s">
        <v>190</v>
      </c>
      <c r="Y26" s="116"/>
      <c r="Z26" s="132">
        <v>2</v>
      </c>
      <c r="AA26" s="117"/>
      <c r="AB26" s="118"/>
      <c r="AC26" s="135"/>
      <c r="AD26" s="134"/>
      <c r="AE26" s="118"/>
      <c r="AF26" s="136"/>
      <c r="AG26" s="131"/>
      <c r="AH26" s="137"/>
      <c r="AI26" s="138"/>
      <c r="AJ26" s="117"/>
      <c r="AK26" s="118"/>
      <c r="AL26" s="135"/>
      <c r="AM26" s="134"/>
      <c r="AN26" s="134"/>
      <c r="AO26" s="136" t="str">
        <f t="shared" si="2"/>
        <v/>
      </c>
      <c r="AP26" s="131"/>
      <c r="AQ26" s="137"/>
      <c r="AR26" s="138"/>
      <c r="AS26" s="36"/>
    </row>
    <row r="27" spans="1:45" s="38" customFormat="1" ht="48">
      <c r="A27" s="46"/>
      <c r="B27" s="123">
        <f>IF(AND(C27&lt;&gt;"",C26&lt;&gt;C27),MAX($B$13:B26)+1,"")</f>
        <v>3</v>
      </c>
      <c r="C27" s="106" t="s">
        <v>191</v>
      </c>
      <c r="D27" s="107"/>
      <c r="E27" s="125" t="s">
        <v>192</v>
      </c>
      <c r="F27" s="106"/>
      <c r="G27" s="108">
        <f t="shared" si="3"/>
        <v>0</v>
      </c>
      <c r="H27" s="109" t="str">
        <f ca="1">IF($G27=1,IF(MIN(OFFSET($AA27,0,0,COUNTIF($C27:$C$82,$C27),1))=0,"",MIN(OFFSET($AA27,0,0,COUNTIF($C27:$C$82,$C27),1))),"")</f>
        <v/>
      </c>
      <c r="I27" s="110" t="str">
        <f ca="1">IF($G27=1,IF(SUMPRODUCT(MAX(($C$13:$C$82=$C27)*($K$13:$K$82)))=COUNTIF($C27:$C$82,C27)-COUNTBLANK(OFFSET($AF27,0,0,COUNTIF($C27:$C$82,$C27),1)),IF(MAX(OFFSET($AF27,0,0,COUNTIF($C27:$C$82,$C27),1))=0,"",MAX(OFFSET($AF27,0,0,COUNTIF($C27:$C$82,$C27),1))),""),"")</f>
        <v/>
      </c>
      <c r="J27" s="111">
        <f>IF(C27=0,"",IF(C26=C27,SUMPRODUCT(MAX(($C$11:$C26=C27)*($J$11:$J26))+1),1))</f>
        <v>1</v>
      </c>
      <c r="K27" s="108">
        <f>IF(C27=0,0,IF(AND(OR(N27="入力・確認",N27="確認"),O27&lt;&gt;"不要"),IF(C26=C27,SUMPRODUCT(MAX(($C$12:$C26=C27)*($K$12:$K26))+1),1),0))</f>
        <v>0</v>
      </c>
      <c r="L27" s="176"/>
      <c r="M27" s="107" t="s">
        <v>193</v>
      </c>
      <c r="N27" s="112"/>
      <c r="O27" s="127"/>
      <c r="P27" s="128"/>
      <c r="Q27" s="129">
        <f t="shared" si="1"/>
        <v>0</v>
      </c>
      <c r="R27" s="130"/>
      <c r="S27" s="124"/>
      <c r="T27" s="224" t="s">
        <v>194</v>
      </c>
      <c r="U27" s="224"/>
      <c r="V27" s="244"/>
      <c r="W27" s="245"/>
      <c r="X27" s="225" t="s">
        <v>195</v>
      </c>
      <c r="Y27" s="116"/>
      <c r="Z27" s="132">
        <v>1</v>
      </c>
      <c r="AA27" s="117"/>
      <c r="AB27" s="118"/>
      <c r="AC27" s="135"/>
      <c r="AD27" s="134"/>
      <c r="AE27" s="118"/>
      <c r="AF27" s="136" t="str">
        <f t="shared" ref="AF21:AF75" si="4">IF(AE27="OK",IF(AC27&lt;&gt;"",AC27,AA27),"")</f>
        <v/>
      </c>
      <c r="AG27" s="131"/>
      <c r="AH27" s="137"/>
      <c r="AI27" s="138"/>
      <c r="AJ27" s="133"/>
      <c r="AK27" s="118"/>
      <c r="AL27" s="135"/>
      <c r="AM27" s="134"/>
      <c r="AN27" s="134"/>
      <c r="AO27" s="136" t="str">
        <f t="shared" si="2"/>
        <v/>
      </c>
      <c r="AP27" s="131"/>
      <c r="AQ27" s="137"/>
      <c r="AR27" s="138"/>
      <c r="AS27" s="36"/>
    </row>
    <row r="28" spans="1:45" s="38" customFormat="1" ht="16">
      <c r="A28" s="46"/>
      <c r="B28" s="123" t="str">
        <f>IF(AND(C28&lt;&gt;"",C27&lt;&gt;C28),MAX($B$13:B27)+1,"")</f>
        <v/>
      </c>
      <c r="C28" s="106"/>
      <c r="D28" s="107"/>
      <c r="E28" s="125"/>
      <c r="F28" s="106"/>
      <c r="G28" s="108" t="str">
        <f t="shared" si="3"/>
        <v/>
      </c>
      <c r="H28" s="109" t="str">
        <f ca="1">IF($G28=1,IF(MIN(OFFSET($AA28,0,0,COUNTIF($C28:$C$82,$C28),1))=0,"",MIN(OFFSET($AA28,0,0,COUNTIF($C28:$C$82,$C28),1))),"")</f>
        <v/>
      </c>
      <c r="I28" s="110" t="str">
        <f ca="1">IF($G28=1,IF(SUMPRODUCT(MAX(($C$13:$C$82=$C28)*($K$13:$K$82)))=COUNTIF($C28:$C$82,C28)-COUNTBLANK(OFFSET($AF28,0,0,COUNTIF($C28:$C$82,$C28),1)),IF(MAX(OFFSET($AF28,0,0,COUNTIF($C28:$C$82,$C28),1))=0,"",MAX(OFFSET($AF28,0,0,COUNTIF($C28:$C$82,$C28),1))),""),"")</f>
        <v/>
      </c>
      <c r="J28" s="111" t="str">
        <f>IF(C28=0,"",IF(C27=C28,SUMPRODUCT(MAX(($C$11:$C27=C28)*($J$11:$J27))+1),1))</f>
        <v/>
      </c>
      <c r="K28" s="108">
        <f>IF(C28=0,0,IF(AND(OR(N28="入力・確認",N28="確認"),O28&lt;&gt;"不要"),IF(C27=C28,SUMPRODUCT(MAX(($C$12:$C27=C28)*($K$12:$K27))+1),1),0))</f>
        <v>0</v>
      </c>
      <c r="L28" s="176"/>
      <c r="M28" s="107"/>
      <c r="N28" s="112"/>
      <c r="O28" s="127"/>
      <c r="P28" s="128"/>
      <c r="Q28" s="129">
        <f t="shared" si="1"/>
        <v>0</v>
      </c>
      <c r="R28" s="130"/>
      <c r="S28" s="124"/>
      <c r="T28" s="224"/>
      <c r="U28" s="224"/>
      <c r="V28" s="244"/>
      <c r="W28" s="245"/>
      <c r="X28" s="225"/>
      <c r="Y28" s="116"/>
      <c r="Z28" s="132"/>
      <c r="AA28" s="117"/>
      <c r="AB28" s="118"/>
      <c r="AC28" s="135"/>
      <c r="AD28" s="134"/>
      <c r="AE28" s="118"/>
      <c r="AF28" s="136" t="str">
        <f t="shared" si="4"/>
        <v/>
      </c>
      <c r="AG28" s="131"/>
      <c r="AH28" s="137"/>
      <c r="AI28" s="138"/>
      <c r="AJ28" s="117"/>
      <c r="AK28" s="118"/>
      <c r="AL28" s="135"/>
      <c r="AM28" s="134"/>
      <c r="AN28" s="134"/>
      <c r="AO28" s="136" t="str">
        <f t="shared" si="2"/>
        <v/>
      </c>
      <c r="AP28" s="131"/>
      <c r="AQ28" s="137"/>
      <c r="AR28" s="138"/>
      <c r="AS28" s="36"/>
    </row>
    <row r="29" spans="1:45" s="38" customFormat="1" ht="16">
      <c r="A29" s="46"/>
      <c r="B29" s="123" t="str">
        <f>IF(AND(C29&lt;&gt;"",C28&lt;&gt;C29),MAX($B$13:B28)+1,"")</f>
        <v/>
      </c>
      <c r="C29" s="106"/>
      <c r="D29" s="107"/>
      <c r="E29" s="125"/>
      <c r="F29" s="106"/>
      <c r="G29" s="108" t="str">
        <f t="shared" si="3"/>
        <v/>
      </c>
      <c r="H29" s="109" t="str">
        <f ca="1">IF($G29=1,IF(MIN(OFFSET($AA29,0,0,COUNTIF($C29:$C$82,$C29),1))=0,"",MIN(OFFSET($AA29,0,0,COUNTIF($C29:$C$82,$C29),1))),"")</f>
        <v/>
      </c>
      <c r="I29" s="110" t="str">
        <f ca="1">IF($G29=1,IF(SUMPRODUCT(MAX(($C$13:$C$82=$C29)*($K$13:$K$82)))=COUNTIF($C29:$C$82,C29)-COUNTBLANK(OFFSET($AF29,0,0,COUNTIF($C29:$C$82,$C29),1)),IF(MAX(OFFSET($AF29,0,0,COUNTIF($C29:$C$82,$C29),1))=0,"",MAX(OFFSET($AF29,0,0,COUNTIF($C29:$C$82,$C29),1))),""),"")</f>
        <v/>
      </c>
      <c r="J29" s="111" t="str">
        <f>IF(C29=0,"",IF(C28=C29,SUMPRODUCT(MAX(($C$11:$C28=C29)*($J$11:$J28))+1),1))</f>
        <v/>
      </c>
      <c r="K29" s="108">
        <f>IF(C29=0,0,IF(AND(OR(N29="入力・確認",N29="確認"),O29&lt;&gt;"不要"),IF(C28=C29,SUMPRODUCT(MAX(($C$12:$C28=C29)*($K$12:$K28))+1),1),0))</f>
        <v>0</v>
      </c>
      <c r="L29" s="176"/>
      <c r="M29" s="107"/>
      <c r="N29" s="112"/>
      <c r="O29" s="127"/>
      <c r="P29" s="128"/>
      <c r="Q29" s="129">
        <f t="shared" si="1"/>
        <v>0</v>
      </c>
      <c r="R29" s="130"/>
      <c r="S29" s="124"/>
      <c r="T29" s="115"/>
      <c r="U29" s="131"/>
      <c r="V29" s="124"/>
      <c r="W29" s="130"/>
      <c r="X29" s="115"/>
      <c r="Y29" s="116"/>
      <c r="Z29" s="132"/>
      <c r="AA29" s="117"/>
      <c r="AB29" s="118"/>
      <c r="AC29" s="135"/>
      <c r="AD29" s="134"/>
      <c r="AE29" s="118"/>
      <c r="AF29" s="136" t="str">
        <f t="shared" si="4"/>
        <v/>
      </c>
      <c r="AG29" s="131"/>
      <c r="AH29" s="137"/>
      <c r="AI29" s="138"/>
      <c r="AJ29" s="117"/>
      <c r="AK29" s="118"/>
      <c r="AL29" s="135"/>
      <c r="AM29" s="134"/>
      <c r="AN29" s="134"/>
      <c r="AO29" s="136" t="str">
        <f t="shared" si="2"/>
        <v/>
      </c>
      <c r="AP29" s="131"/>
      <c r="AQ29" s="137"/>
      <c r="AR29" s="138"/>
      <c r="AS29" s="36"/>
    </row>
    <row r="30" spans="1:45" s="38" customFormat="1" ht="16">
      <c r="A30" s="46"/>
      <c r="B30" s="123" t="str">
        <f>IF(AND(C30&lt;&gt;"",C29&lt;&gt;C30),MAX($B$13:B29)+1,"")</f>
        <v/>
      </c>
      <c r="C30" s="106"/>
      <c r="D30" s="107"/>
      <c r="E30" s="125"/>
      <c r="F30" s="106"/>
      <c r="G30" s="108" t="str">
        <f t="shared" si="3"/>
        <v/>
      </c>
      <c r="H30" s="109" t="str">
        <f ca="1">IF($G30=1,IF(MIN(OFFSET($AA30,0,0,COUNTIF($C30:$C$82,$C30),1))=0,"",MIN(OFFSET($AA30,0,0,COUNTIF($C30:$C$82,$C30),1))),"")</f>
        <v/>
      </c>
      <c r="I30" s="110" t="str">
        <f ca="1">IF($G30=1,IF(SUMPRODUCT(MAX(($C$13:$C$82=$C30)*($K$13:$K$82)))=COUNTIF($C30:$C$82,C30)-COUNTBLANK(OFFSET($AF30,0,0,COUNTIF($C30:$C$82,$C30),1)),IF(MAX(OFFSET($AF30,0,0,COUNTIF($C30:$C$82,$C30),1))=0,"",MAX(OFFSET($AF30,0,0,COUNTIF($C30:$C$82,$C30),1))),""),"")</f>
        <v/>
      </c>
      <c r="J30" s="111" t="str">
        <f>IF(C30=0,"",IF(C29=C30,SUMPRODUCT(MAX(($C$11:$C29=C30)*($J$11:$J29))+1),1))</f>
        <v/>
      </c>
      <c r="K30" s="108">
        <f>IF(C30=0,0,IF(AND(OR(N30="入力・確認",N30="確認"),O30&lt;&gt;"不要"),IF(C29=C30,SUMPRODUCT(MAX(($C$12:$C29=C30)*($K$12:$K29))+1),1),0))</f>
        <v>0</v>
      </c>
      <c r="L30" s="176"/>
      <c r="M30" s="107"/>
      <c r="N30" s="112"/>
      <c r="O30" s="127"/>
      <c r="P30" s="128"/>
      <c r="Q30" s="129">
        <f t="shared" si="1"/>
        <v>0</v>
      </c>
      <c r="R30" s="130"/>
      <c r="S30" s="124"/>
      <c r="T30" s="115"/>
      <c r="U30" s="131"/>
      <c r="V30" s="124"/>
      <c r="W30" s="130"/>
      <c r="X30" s="115"/>
      <c r="Y30" s="116"/>
      <c r="Z30" s="132"/>
      <c r="AA30" s="117"/>
      <c r="AB30" s="118"/>
      <c r="AC30" s="135"/>
      <c r="AD30" s="134"/>
      <c r="AE30" s="118"/>
      <c r="AF30" s="136" t="str">
        <f t="shared" si="4"/>
        <v/>
      </c>
      <c r="AG30" s="131"/>
      <c r="AH30" s="137"/>
      <c r="AI30" s="138"/>
      <c r="AJ30" s="133"/>
      <c r="AK30" s="118"/>
      <c r="AL30" s="135"/>
      <c r="AM30" s="134"/>
      <c r="AN30" s="134"/>
      <c r="AO30" s="136" t="str">
        <f t="shared" si="2"/>
        <v/>
      </c>
      <c r="AP30" s="131"/>
      <c r="AQ30" s="137"/>
      <c r="AR30" s="138"/>
      <c r="AS30" s="36"/>
    </row>
    <row r="31" spans="1:45" s="38" customFormat="1" ht="16">
      <c r="A31" s="46"/>
      <c r="B31" s="123" t="str">
        <f>IF(AND(C31&lt;&gt;"",C30&lt;&gt;C31),MAX($B$13:B30)+1,"")</f>
        <v/>
      </c>
      <c r="C31" s="106"/>
      <c r="D31" s="107"/>
      <c r="E31" s="125"/>
      <c r="F31" s="106"/>
      <c r="G31" s="108" t="str">
        <f t="shared" si="3"/>
        <v/>
      </c>
      <c r="H31" s="109" t="str">
        <f ca="1">IF($G31=1,IF(MIN(OFFSET($AA31,0,0,COUNTIF($C31:$C$82,$C31),1))=0,"",MIN(OFFSET($AA31,0,0,COUNTIF($C31:$C$82,$C31),1))),"")</f>
        <v/>
      </c>
      <c r="I31" s="110" t="str">
        <f ca="1">IF($G31=1,IF(SUMPRODUCT(MAX(($C$13:$C$82=$C31)*($K$13:$K$82)))=COUNTIF($C31:$C$82,C31)-COUNTBLANK(OFFSET($AF31,0,0,COUNTIF($C31:$C$82,$C31),1)),IF(MAX(OFFSET($AF31,0,0,COUNTIF($C31:$C$82,$C31),1))=0,"",MAX(OFFSET($AF31,0,0,COUNTIF($C31:$C$82,$C31),1))),""),"")</f>
        <v/>
      </c>
      <c r="J31" s="111" t="str">
        <f>IF(C31=0,"",IF(C30=C31,SUMPRODUCT(MAX(($C$11:$C30=C31)*($J$11:$J30))+1),1))</f>
        <v/>
      </c>
      <c r="K31" s="108">
        <f>IF(C31=0,0,IF(AND(OR(N31="入力・確認",N31="確認"),O31&lt;&gt;"不要"),IF(C30=C31,SUMPRODUCT(MAX(($C$12:$C30=C31)*($K$12:$K30))+1),1),0))</f>
        <v>0</v>
      </c>
      <c r="L31" s="176"/>
      <c r="M31" s="107"/>
      <c r="N31" s="112"/>
      <c r="O31" s="127"/>
      <c r="P31" s="128"/>
      <c r="Q31" s="129">
        <f t="shared" si="1"/>
        <v>0</v>
      </c>
      <c r="R31" s="130"/>
      <c r="S31" s="124"/>
      <c r="T31" s="115"/>
      <c r="U31" s="131"/>
      <c r="V31" s="124"/>
      <c r="W31" s="130"/>
      <c r="X31" s="115"/>
      <c r="Y31" s="116"/>
      <c r="Z31" s="132"/>
      <c r="AA31" s="117"/>
      <c r="AB31" s="118"/>
      <c r="AC31" s="135"/>
      <c r="AD31" s="134"/>
      <c r="AE31" s="118"/>
      <c r="AF31" s="136" t="str">
        <f t="shared" si="4"/>
        <v/>
      </c>
      <c r="AG31" s="131"/>
      <c r="AH31" s="137"/>
      <c r="AI31" s="138"/>
      <c r="AJ31" s="117"/>
      <c r="AK31" s="118"/>
      <c r="AL31" s="135"/>
      <c r="AM31" s="134"/>
      <c r="AN31" s="134"/>
      <c r="AO31" s="136" t="str">
        <f t="shared" si="2"/>
        <v/>
      </c>
      <c r="AP31" s="131"/>
      <c r="AQ31" s="137"/>
      <c r="AR31" s="138"/>
      <c r="AS31" s="36"/>
    </row>
    <row r="32" spans="1:45" s="38" customFormat="1" ht="16">
      <c r="A32" s="46"/>
      <c r="B32" s="123" t="str">
        <f>IF(AND(C32&lt;&gt;"",C31&lt;&gt;C32),MAX($B$13:B31)+1,"")</f>
        <v/>
      </c>
      <c r="C32" s="106"/>
      <c r="D32" s="107"/>
      <c r="E32" s="125"/>
      <c r="F32" s="106"/>
      <c r="G32" s="108" t="str">
        <f t="shared" si="3"/>
        <v/>
      </c>
      <c r="H32" s="109" t="str">
        <f ca="1">IF($G32=1,IF(MIN(OFFSET($AA32,0,0,COUNTIF($C32:$C$82,$C32),1))=0,"",MIN(OFFSET($AA32,0,0,COUNTIF($C32:$C$82,$C32),1))),"")</f>
        <v/>
      </c>
      <c r="I32" s="110" t="str">
        <f ca="1">IF($G32=1,IF(SUMPRODUCT(MAX(($C$13:$C$82=$C32)*($K$13:$K$82)))=COUNTIF($C32:$C$82,C32)-COUNTBLANK(OFFSET($AF32,0,0,COUNTIF($C32:$C$82,$C32),1)),IF(MAX(OFFSET($AF32,0,0,COUNTIF($C32:$C$82,$C32),1))=0,"",MAX(OFFSET($AF32,0,0,COUNTIF($C32:$C$82,$C32),1))),""),"")</f>
        <v/>
      </c>
      <c r="J32" s="111" t="str">
        <f>IF(C32=0,"",IF(C31=C32,SUMPRODUCT(MAX(($C$11:$C31=C32)*($J$11:$J31))+1),1))</f>
        <v/>
      </c>
      <c r="K32" s="108">
        <f>IF(C32=0,0,IF(AND(OR(N32="入力・確認",N32="確認"),O32&lt;&gt;"不要"),IF(C31=C32,SUMPRODUCT(MAX(($C$12:$C31=C32)*($K$12:$K31))+1),1),0))</f>
        <v>0</v>
      </c>
      <c r="L32" s="176"/>
      <c r="M32" s="107"/>
      <c r="N32" s="112"/>
      <c r="O32" s="127"/>
      <c r="P32" s="128"/>
      <c r="Q32" s="129">
        <f t="shared" si="1"/>
        <v>0</v>
      </c>
      <c r="R32" s="130"/>
      <c r="S32" s="124"/>
      <c r="T32" s="115"/>
      <c r="U32" s="131"/>
      <c r="V32" s="124"/>
      <c r="W32" s="130"/>
      <c r="X32" s="115"/>
      <c r="Y32" s="116"/>
      <c r="Z32" s="132"/>
      <c r="AA32" s="117"/>
      <c r="AB32" s="118"/>
      <c r="AC32" s="135"/>
      <c r="AD32" s="134"/>
      <c r="AE32" s="118"/>
      <c r="AF32" s="136" t="str">
        <f t="shared" si="4"/>
        <v/>
      </c>
      <c r="AG32" s="131"/>
      <c r="AH32" s="137"/>
      <c r="AI32" s="138"/>
      <c r="AJ32" s="117"/>
      <c r="AK32" s="118"/>
      <c r="AL32" s="135"/>
      <c r="AM32" s="134"/>
      <c r="AN32" s="134"/>
      <c r="AO32" s="136" t="str">
        <f t="shared" si="2"/>
        <v/>
      </c>
      <c r="AP32" s="131"/>
      <c r="AQ32" s="137"/>
      <c r="AR32" s="138"/>
      <c r="AS32" s="36"/>
    </row>
    <row r="33" spans="1:45" s="38" customFormat="1" ht="16">
      <c r="A33" s="46"/>
      <c r="B33" s="123" t="str">
        <f>IF(AND(C33&lt;&gt;"",C32&lt;&gt;C33),MAX($B$13:B32)+1,"")</f>
        <v/>
      </c>
      <c r="C33" s="106"/>
      <c r="D33" s="107"/>
      <c r="E33" s="125"/>
      <c r="F33" s="106"/>
      <c r="G33" s="108" t="str">
        <f t="shared" si="3"/>
        <v/>
      </c>
      <c r="H33" s="109" t="str">
        <f ca="1">IF($G33=1,IF(MIN(OFFSET($AA33,0,0,COUNTIF($C33:$C$82,$C33),1))=0,"",MIN(OFFSET($AA33,0,0,COUNTIF($C33:$C$82,$C33),1))),"")</f>
        <v/>
      </c>
      <c r="I33" s="110" t="str">
        <f ca="1">IF($G33=1,IF(SUMPRODUCT(MAX(($C$13:$C$82=$C33)*($K$13:$K$82)))=COUNTIF($C33:$C$82,C33)-COUNTBLANK(OFFSET($AF33,0,0,COUNTIF($C33:$C$82,$C33),1)),IF(MAX(OFFSET($AF33,0,0,COUNTIF($C33:$C$82,$C33),1))=0,"",MAX(OFFSET($AF33,0,0,COUNTIF($C33:$C$82,$C33),1))),""),"")</f>
        <v/>
      </c>
      <c r="J33" s="111" t="str">
        <f>IF(C33=0,"",IF(C32=C33,SUMPRODUCT(MAX(($C$11:$C32=C33)*($J$11:$J32))+1),1))</f>
        <v/>
      </c>
      <c r="K33" s="108">
        <f>IF(C33=0,0,IF(AND(OR(N33="入力・確認",N33="確認"),O33&lt;&gt;"不要"),IF(C32=C33,SUMPRODUCT(MAX(($C$12:$C32=C33)*($K$12:$K32))+1),1),0))</f>
        <v>0</v>
      </c>
      <c r="L33" s="176"/>
      <c r="M33" s="107"/>
      <c r="N33" s="112"/>
      <c r="O33" s="127"/>
      <c r="P33" s="128"/>
      <c r="Q33" s="129">
        <f t="shared" si="1"/>
        <v>0</v>
      </c>
      <c r="R33" s="130"/>
      <c r="S33" s="124"/>
      <c r="T33" s="115"/>
      <c r="U33" s="131"/>
      <c r="V33" s="124"/>
      <c r="W33" s="130"/>
      <c r="X33" s="115"/>
      <c r="Y33" s="116"/>
      <c r="Z33" s="132"/>
      <c r="AA33" s="117"/>
      <c r="AB33" s="118"/>
      <c r="AC33" s="135"/>
      <c r="AD33" s="134"/>
      <c r="AE33" s="118"/>
      <c r="AF33" s="136" t="str">
        <f t="shared" si="4"/>
        <v/>
      </c>
      <c r="AG33" s="131"/>
      <c r="AH33" s="137"/>
      <c r="AI33" s="138"/>
      <c r="AJ33" s="117"/>
      <c r="AK33" s="118"/>
      <c r="AL33" s="135"/>
      <c r="AM33" s="134"/>
      <c r="AN33" s="134"/>
      <c r="AO33" s="136" t="str">
        <f t="shared" si="2"/>
        <v/>
      </c>
      <c r="AP33" s="131"/>
      <c r="AQ33" s="137"/>
      <c r="AR33" s="138"/>
      <c r="AS33" s="36"/>
    </row>
    <row r="34" spans="1:45" s="38" customFormat="1" ht="16">
      <c r="A34" s="46"/>
      <c r="B34" s="123" t="str">
        <f>IF(AND(C34&lt;&gt;"",C33&lt;&gt;C34),MAX($B$13:B33)+1,"")</f>
        <v/>
      </c>
      <c r="C34" s="106"/>
      <c r="D34" s="107"/>
      <c r="E34" s="125"/>
      <c r="F34" s="106"/>
      <c r="G34" s="108" t="str">
        <f t="shared" si="3"/>
        <v/>
      </c>
      <c r="H34" s="109" t="str">
        <f ca="1">IF($G34=1,IF(MIN(OFFSET($AA34,0,0,COUNTIF($C34:$C$82,$C34),1))=0,"",MIN(OFFSET($AA34,0,0,COUNTIF($C34:$C$82,$C34),1))),"")</f>
        <v/>
      </c>
      <c r="I34" s="110" t="str">
        <f ca="1">IF($G34=1,IF(SUMPRODUCT(MAX(($C$13:$C$82=$C34)*($K$13:$K$82)))=COUNTIF($C34:$C$82,C34)-COUNTBLANK(OFFSET($AF34,0,0,COUNTIF($C34:$C$82,$C34),1)),IF(MAX(OFFSET($AF34,0,0,COUNTIF($C34:$C$82,$C34),1))=0,"",MAX(OFFSET($AF34,0,0,COUNTIF($C34:$C$82,$C34),1))),""),"")</f>
        <v/>
      </c>
      <c r="J34" s="111" t="str">
        <f>IF(C34=0,"",IF(C33=C34,SUMPRODUCT(MAX(($C$11:$C33=C34)*($J$11:$J33))+1),1))</f>
        <v/>
      </c>
      <c r="K34" s="108">
        <f>IF(C34=0,0,IF(AND(OR(N34="入力・確認",N34="確認"),O34&lt;&gt;"不要"),IF(C33=C34,SUMPRODUCT(MAX(($C$12:$C33=C34)*($K$12:$K33))+1),1),0))</f>
        <v>0</v>
      </c>
      <c r="L34" s="176"/>
      <c r="M34" s="107"/>
      <c r="N34" s="112"/>
      <c r="O34" s="127"/>
      <c r="P34" s="128"/>
      <c r="Q34" s="129">
        <f t="shared" si="1"/>
        <v>0</v>
      </c>
      <c r="R34" s="130"/>
      <c r="S34" s="124"/>
      <c r="T34" s="115"/>
      <c r="U34" s="131"/>
      <c r="V34" s="124"/>
      <c r="W34" s="130"/>
      <c r="X34" s="115"/>
      <c r="Y34" s="116"/>
      <c r="Z34" s="132"/>
      <c r="AA34" s="117"/>
      <c r="AB34" s="118"/>
      <c r="AC34" s="135"/>
      <c r="AD34" s="134"/>
      <c r="AE34" s="118"/>
      <c r="AF34" s="136" t="str">
        <f t="shared" si="4"/>
        <v/>
      </c>
      <c r="AG34" s="131"/>
      <c r="AH34" s="137"/>
      <c r="AI34" s="138"/>
      <c r="AJ34" s="117"/>
      <c r="AK34" s="118"/>
      <c r="AL34" s="135"/>
      <c r="AM34" s="134"/>
      <c r="AN34" s="134"/>
      <c r="AO34" s="136" t="str">
        <f t="shared" si="2"/>
        <v/>
      </c>
      <c r="AP34" s="131"/>
      <c r="AQ34" s="137"/>
      <c r="AR34" s="138"/>
      <c r="AS34" s="36"/>
    </row>
    <row r="35" spans="1:45" s="38" customFormat="1" ht="16">
      <c r="A35" s="46"/>
      <c r="B35" s="123" t="str">
        <f>IF(AND(C35&lt;&gt;"",C34&lt;&gt;C35),MAX($B$13:B34)+1,"")</f>
        <v/>
      </c>
      <c r="C35" s="106"/>
      <c r="D35" s="107"/>
      <c r="E35" s="125"/>
      <c r="F35" s="106"/>
      <c r="G35" s="108" t="str">
        <f t="shared" si="3"/>
        <v/>
      </c>
      <c r="H35" s="109" t="str">
        <f ca="1">IF($G35=1,IF(MIN(OFFSET($AA35,0,0,COUNTIF($C35:$C$82,$C35),1))=0,"",MIN(OFFSET($AA35,0,0,COUNTIF($C35:$C$82,$C35),1))),"")</f>
        <v/>
      </c>
      <c r="I35" s="110" t="str">
        <f ca="1">IF($G35=1,IF(SUMPRODUCT(MAX(($C$13:$C$82=$C35)*($K$13:$K$82)))=COUNTIF($C35:$C$82,C35)-COUNTBLANK(OFFSET($AF35,0,0,COUNTIF($C35:$C$82,$C35),1)),IF(MAX(OFFSET($AF35,0,0,COUNTIF($C35:$C$82,$C35),1))=0,"",MAX(OFFSET($AF35,0,0,COUNTIF($C35:$C$82,$C35),1))),""),"")</f>
        <v/>
      </c>
      <c r="J35" s="111" t="str">
        <f>IF(C35=0,"",IF(C34=C35,SUMPRODUCT(MAX(($C$11:$C34=C35)*($J$11:$J34))+1),1))</f>
        <v/>
      </c>
      <c r="K35" s="108">
        <f>IF(C35=0,0,IF(AND(OR(N35="入力・確認",N35="確認"),O35&lt;&gt;"不要"),IF(C34=C35,SUMPRODUCT(MAX(($C$12:$C34=C35)*($K$12:$K34))+1),1),0))</f>
        <v>0</v>
      </c>
      <c r="L35" s="176"/>
      <c r="M35" s="107"/>
      <c r="N35" s="112"/>
      <c r="O35" s="127"/>
      <c r="P35" s="128"/>
      <c r="Q35" s="129">
        <f t="shared" si="1"/>
        <v>0</v>
      </c>
      <c r="R35" s="130"/>
      <c r="S35" s="124"/>
      <c r="T35" s="115"/>
      <c r="U35" s="131"/>
      <c r="V35" s="124"/>
      <c r="W35" s="130"/>
      <c r="X35" s="115"/>
      <c r="Y35" s="116"/>
      <c r="Z35" s="132"/>
      <c r="AA35" s="117"/>
      <c r="AB35" s="118"/>
      <c r="AC35" s="135"/>
      <c r="AD35" s="134"/>
      <c r="AE35" s="118"/>
      <c r="AF35" s="136" t="str">
        <f t="shared" si="4"/>
        <v/>
      </c>
      <c r="AG35" s="131"/>
      <c r="AH35" s="137"/>
      <c r="AI35" s="138"/>
      <c r="AJ35" s="117"/>
      <c r="AK35" s="118"/>
      <c r="AL35" s="135"/>
      <c r="AM35" s="134"/>
      <c r="AN35" s="134"/>
      <c r="AO35" s="136" t="str">
        <f t="shared" si="2"/>
        <v/>
      </c>
      <c r="AP35" s="131"/>
      <c r="AQ35" s="137"/>
      <c r="AR35" s="138"/>
      <c r="AS35" s="36"/>
    </row>
    <row r="36" spans="1:45" s="38" customFormat="1" ht="16">
      <c r="A36" s="46"/>
      <c r="B36" s="123" t="str">
        <f>IF(AND(C36&lt;&gt;"",C35&lt;&gt;C36),MAX($B$13:B35)+1,"")</f>
        <v/>
      </c>
      <c r="C36" s="106"/>
      <c r="D36" s="107"/>
      <c r="E36" s="125"/>
      <c r="F36" s="106"/>
      <c r="G36" s="108" t="str">
        <f t="shared" si="3"/>
        <v/>
      </c>
      <c r="H36" s="109" t="str">
        <f ca="1">IF($G36=1,IF(MIN(OFFSET($AA36,0,0,COUNTIF($C36:$C$82,$C36),1))=0,"",MIN(OFFSET($AA36,0,0,COUNTIF($C36:$C$82,$C36),1))),"")</f>
        <v/>
      </c>
      <c r="I36" s="110" t="str">
        <f ca="1">IF($G36=1,IF(SUMPRODUCT(MAX(($C$13:$C$82=$C36)*($K$13:$K$82)))=COUNTIF($C36:$C$82,C36)-COUNTBLANK(OFFSET($AF36,0,0,COUNTIF($C36:$C$82,$C36),1)),IF(MAX(OFFSET($AF36,0,0,COUNTIF($C36:$C$82,$C36),1))=0,"",MAX(OFFSET($AF36,0,0,COUNTIF($C36:$C$82,$C36),1))),""),"")</f>
        <v/>
      </c>
      <c r="J36" s="111" t="str">
        <f>IF(C36=0,"",IF(C35=C36,SUMPRODUCT(MAX(($C$11:$C35=C36)*($J$11:$J35))+1),1))</f>
        <v/>
      </c>
      <c r="K36" s="108">
        <f>IF(C36=0,0,IF(AND(OR(N36="入力・確認",N36="確認"),O36&lt;&gt;"不要"),IF(C35=C36,SUMPRODUCT(MAX(($C$12:$C35=C36)*($K$12:$K35))+1),1),0))</f>
        <v>0</v>
      </c>
      <c r="L36" s="176"/>
      <c r="M36" s="107"/>
      <c r="N36" s="112"/>
      <c r="O36" s="127"/>
      <c r="P36" s="128"/>
      <c r="Q36" s="129">
        <f t="shared" si="1"/>
        <v>0</v>
      </c>
      <c r="R36" s="130"/>
      <c r="S36" s="124"/>
      <c r="T36" s="115"/>
      <c r="U36" s="131"/>
      <c r="V36" s="124"/>
      <c r="W36" s="130"/>
      <c r="X36" s="115"/>
      <c r="Y36" s="116"/>
      <c r="Z36" s="132"/>
      <c r="AA36" s="133"/>
      <c r="AB36" s="134"/>
      <c r="AC36" s="135"/>
      <c r="AD36" s="134"/>
      <c r="AE36" s="118"/>
      <c r="AF36" s="136" t="str">
        <f t="shared" si="4"/>
        <v/>
      </c>
      <c r="AG36" s="131"/>
      <c r="AH36" s="137"/>
      <c r="AI36" s="138"/>
      <c r="AJ36" s="117"/>
      <c r="AK36" s="118"/>
      <c r="AL36" s="135"/>
      <c r="AM36" s="134"/>
      <c r="AN36" s="134"/>
      <c r="AO36" s="136" t="str">
        <f t="shared" si="2"/>
        <v/>
      </c>
      <c r="AP36" s="131"/>
      <c r="AQ36" s="137"/>
      <c r="AR36" s="138"/>
      <c r="AS36" s="36"/>
    </row>
    <row r="37" spans="1:45" s="38" customFormat="1" ht="16">
      <c r="A37" s="46"/>
      <c r="B37" s="123" t="str">
        <f>IF(AND(C37&lt;&gt;"",C36&lt;&gt;C37),MAX($B$13:B36)+1,"")</f>
        <v/>
      </c>
      <c r="C37" s="106"/>
      <c r="D37" s="107"/>
      <c r="E37" s="125"/>
      <c r="F37" s="124"/>
      <c r="G37" s="108" t="str">
        <f t="shared" si="3"/>
        <v/>
      </c>
      <c r="H37" s="109" t="str">
        <f ca="1">IF($G37=1,IF(MIN(OFFSET($AA37,0,0,COUNTIF($C37:$C$82,$C37),1))=0,"",MIN(OFFSET($AA37,0,0,COUNTIF($C37:$C$82,$C37),1))),"")</f>
        <v/>
      </c>
      <c r="I37" s="110" t="str">
        <f ca="1">IF($G37=1,IF(SUMPRODUCT(MAX(($C$13:$C$82=$C37)*($K$13:$K$82)))=COUNTIF($C37:$C$82,C37)-COUNTBLANK(OFFSET($AF37,0,0,COUNTIF($C37:$C$82,$C37),1)),IF(MAX(OFFSET($AF37,0,0,COUNTIF($C37:$C$82,$C37),1))=0,"",MAX(OFFSET($AF37,0,0,COUNTIF($C37:$C$82,$C37),1))),""),"")</f>
        <v/>
      </c>
      <c r="J37" s="111" t="str">
        <f>IF(C37=0,"",IF(C36=C37,SUMPRODUCT(MAX(($C$11:$C36=C37)*($J$11:$J36))+1),1))</f>
        <v/>
      </c>
      <c r="K37" s="108">
        <f>IF(C37=0,0,IF(AND(OR(N37="入力・確認",N37="確認"),O37&lt;&gt;"不要"),IF(C36=C37,SUMPRODUCT(MAX(($C$12:$C36=C37)*($K$12:$K36))+1),1),0))</f>
        <v>0</v>
      </c>
      <c r="L37" s="176"/>
      <c r="M37" s="125"/>
      <c r="N37" s="126"/>
      <c r="O37" s="127"/>
      <c r="P37" s="128"/>
      <c r="Q37" s="129">
        <f t="shared" si="1"/>
        <v>0</v>
      </c>
      <c r="R37" s="130"/>
      <c r="S37" s="124"/>
      <c r="T37" s="115"/>
      <c r="U37" s="131"/>
      <c r="V37" s="124"/>
      <c r="W37" s="130"/>
      <c r="X37" s="131"/>
      <c r="Y37" s="116"/>
      <c r="Z37" s="132"/>
      <c r="AA37" s="133"/>
      <c r="AB37" s="134"/>
      <c r="AC37" s="135"/>
      <c r="AD37" s="134"/>
      <c r="AE37" s="134"/>
      <c r="AF37" s="136" t="str">
        <f t="shared" si="4"/>
        <v/>
      </c>
      <c r="AG37" s="131"/>
      <c r="AH37" s="137"/>
      <c r="AI37" s="138"/>
      <c r="AJ37" s="133"/>
      <c r="AK37" s="134"/>
      <c r="AL37" s="135"/>
      <c r="AM37" s="134"/>
      <c r="AN37" s="134"/>
      <c r="AO37" s="136" t="str">
        <f t="shared" si="2"/>
        <v/>
      </c>
      <c r="AP37" s="131"/>
      <c r="AQ37" s="137"/>
      <c r="AR37" s="138"/>
      <c r="AS37" s="36"/>
    </row>
    <row r="38" spans="1:45" s="38" customFormat="1" ht="16">
      <c r="A38" s="46"/>
      <c r="B38" s="123" t="str">
        <f>IF(AND(C38&lt;&gt;"",C37&lt;&gt;C38),MAX($B$13:B37)+1,"")</f>
        <v/>
      </c>
      <c r="C38" s="106"/>
      <c r="D38" s="125"/>
      <c r="E38" s="125"/>
      <c r="F38" s="124"/>
      <c r="G38" s="108" t="str">
        <f t="shared" si="3"/>
        <v/>
      </c>
      <c r="H38" s="109" t="str">
        <f ca="1">IF($G38=1,IF(MIN(OFFSET($AA38,0,0,COUNTIF($C38:$C$82,$C38),1))=0,"",MIN(OFFSET($AA38,0,0,COUNTIF($C38:$C$82,$C38),1))),"")</f>
        <v/>
      </c>
      <c r="I38" s="110" t="str">
        <f ca="1">IF($G38=1,IF(SUMPRODUCT(MAX(($C$13:$C$82=$C38)*($K$13:$K$82)))=COUNTIF($C38:$C$82,C38)-COUNTBLANK(OFFSET($AF38,0,0,COUNTIF($C38:$C$82,$C38),1)),IF(MAX(OFFSET($AF38,0,0,COUNTIF($C38:$C$82,$C38),1))=0,"",MAX(OFFSET($AF38,0,0,COUNTIF($C38:$C$82,$C38),1))),""),"")</f>
        <v/>
      </c>
      <c r="J38" s="111" t="str">
        <f>IF(C38=0,"",IF(C37=C38,SUMPRODUCT(MAX(($C$11:$C37=C38)*($J$11:$J37))+1),1))</f>
        <v/>
      </c>
      <c r="K38" s="108">
        <f>IF(C38=0,0,IF(AND(OR(N38="入力・確認",N38="確認"),O38&lt;&gt;"不要"),IF(C37=C38,SUMPRODUCT(MAX(($C$12:$C37=C38)*($K$12:$K37))+1),1),0))</f>
        <v>0</v>
      </c>
      <c r="L38" s="176"/>
      <c r="M38" s="125"/>
      <c r="N38" s="126"/>
      <c r="O38" s="127"/>
      <c r="P38" s="128"/>
      <c r="Q38" s="129">
        <f t="shared" si="1"/>
        <v>0</v>
      </c>
      <c r="R38" s="130"/>
      <c r="S38" s="124"/>
      <c r="T38" s="131"/>
      <c r="U38" s="124"/>
      <c r="V38" s="124"/>
      <c r="W38" s="130"/>
      <c r="X38" s="131"/>
      <c r="Y38" s="132"/>
      <c r="Z38" s="132"/>
      <c r="AA38" s="133"/>
      <c r="AB38" s="134"/>
      <c r="AC38" s="135"/>
      <c r="AD38" s="134"/>
      <c r="AE38" s="134"/>
      <c r="AF38" s="136" t="str">
        <f t="shared" si="4"/>
        <v/>
      </c>
      <c r="AG38" s="131"/>
      <c r="AH38" s="137"/>
      <c r="AI38" s="138"/>
      <c r="AJ38" s="133"/>
      <c r="AK38" s="134"/>
      <c r="AL38" s="135"/>
      <c r="AM38" s="134"/>
      <c r="AN38" s="134"/>
      <c r="AO38" s="136" t="str">
        <f t="shared" si="2"/>
        <v/>
      </c>
      <c r="AP38" s="131"/>
      <c r="AQ38" s="137"/>
      <c r="AR38" s="138"/>
      <c r="AS38" s="36"/>
    </row>
    <row r="39" spans="1:45" s="38" customFormat="1" ht="16">
      <c r="A39" s="46"/>
      <c r="B39" s="123" t="str">
        <f>IF(AND(C39&lt;&gt;"",C38&lt;&gt;C39),MAX($B$13:B38)+1,"")</f>
        <v/>
      </c>
      <c r="C39" s="106"/>
      <c r="D39" s="125"/>
      <c r="E39" s="125"/>
      <c r="F39" s="124"/>
      <c r="G39" s="108" t="str">
        <f t="shared" si="3"/>
        <v/>
      </c>
      <c r="H39" s="109" t="str">
        <f ca="1">IF($G39=1,IF(MIN(OFFSET($AA39,0,0,COUNTIF($C39:$C$82,$C39),1))=0,"",MIN(OFFSET($AA39,0,0,COUNTIF($C39:$C$82,$C39),1))),"")</f>
        <v/>
      </c>
      <c r="I39" s="110" t="str">
        <f ca="1">IF($G39=1,IF(SUMPRODUCT(MAX(($C$13:$C$82=$C39)*($K$13:$K$82)))=COUNTIF($C39:$C$82,C39)-COUNTBLANK(OFFSET($AF39,0,0,COUNTIF($C39:$C$82,$C39),1)),IF(MAX(OFFSET($AF39,0,0,COUNTIF($C39:$C$82,$C39),1))=0,"",MAX(OFFSET($AF39,0,0,COUNTIF($C39:$C$82,$C39),1))),""),"")</f>
        <v/>
      </c>
      <c r="J39" s="111" t="str">
        <f>IF(C39=0,"",IF(C38=C39,SUMPRODUCT(MAX(($C$11:$C38=C39)*($J$11:$J38))+1),1))</f>
        <v/>
      </c>
      <c r="K39" s="108">
        <f>IF(C39=0,0,IF(AND(OR(N39="入力・確認",N39="確認"),O39&lt;&gt;"不要"),IF(C38=C39,SUMPRODUCT(MAX(($C$12:$C38=C39)*($K$12:$K38))+1),1),0))</f>
        <v>0</v>
      </c>
      <c r="L39" s="176"/>
      <c r="M39" s="125"/>
      <c r="N39" s="126"/>
      <c r="O39" s="127"/>
      <c r="P39" s="128"/>
      <c r="Q39" s="129">
        <f t="shared" si="1"/>
        <v>0</v>
      </c>
      <c r="R39" s="130"/>
      <c r="S39" s="124"/>
      <c r="T39" s="131"/>
      <c r="U39" s="124"/>
      <c r="V39" s="124"/>
      <c r="W39" s="130"/>
      <c r="X39" s="131"/>
      <c r="Y39" s="132"/>
      <c r="Z39" s="132"/>
      <c r="AA39" s="133"/>
      <c r="AB39" s="134"/>
      <c r="AC39" s="135"/>
      <c r="AD39" s="134"/>
      <c r="AE39" s="134"/>
      <c r="AF39" s="136" t="str">
        <f t="shared" si="4"/>
        <v/>
      </c>
      <c r="AG39" s="131"/>
      <c r="AH39" s="137"/>
      <c r="AI39" s="138"/>
      <c r="AJ39" s="133"/>
      <c r="AK39" s="134"/>
      <c r="AL39" s="135"/>
      <c r="AM39" s="134"/>
      <c r="AN39" s="134"/>
      <c r="AO39" s="136" t="str">
        <f t="shared" si="2"/>
        <v/>
      </c>
      <c r="AP39" s="131"/>
      <c r="AQ39" s="137"/>
      <c r="AR39" s="138"/>
      <c r="AS39" s="36"/>
    </row>
    <row r="40" spans="1:45" s="38" customFormat="1" ht="16">
      <c r="A40" s="46"/>
      <c r="B40" s="123" t="str">
        <f>IF(AND(C40&lt;&gt;"",C39&lt;&gt;C40),MAX($B$13:B39)+1,"")</f>
        <v/>
      </c>
      <c r="C40" s="106"/>
      <c r="D40" s="125"/>
      <c r="E40" s="125"/>
      <c r="F40" s="124"/>
      <c r="G40" s="108" t="str">
        <f t="shared" si="3"/>
        <v/>
      </c>
      <c r="H40" s="109" t="str">
        <f ca="1">IF($G40=1,IF(MIN(OFFSET($AA40,0,0,COUNTIF($C40:$C$82,$C40),1))=0,"",MIN(OFFSET($AA40,0,0,COUNTIF($C40:$C$82,$C40),1))),"")</f>
        <v/>
      </c>
      <c r="I40" s="110" t="str">
        <f ca="1">IF($G40=1,IF(SUMPRODUCT(MAX(($C$13:$C$82=$C40)*($K$13:$K$82)))=COUNTIF($C40:$C$82,C40)-COUNTBLANK(OFFSET($AF40,0,0,COUNTIF($C40:$C$82,$C40),1)),IF(MAX(OFFSET($AF40,0,0,COUNTIF($C40:$C$82,$C40),1))=0,"",MAX(OFFSET($AF40,0,0,COUNTIF($C40:$C$82,$C40),1))),""),"")</f>
        <v/>
      </c>
      <c r="J40" s="111" t="str">
        <f>IF(C40=0,"",IF(C39=C40,SUMPRODUCT(MAX(($C$11:$C39=C40)*($J$11:$J39))+1),1))</f>
        <v/>
      </c>
      <c r="K40" s="108">
        <f>IF(C40=0,0,IF(AND(OR(N40="入力・確認",N40="確認"),O40&lt;&gt;"不要"),IF(C39=C40,SUMPRODUCT(MAX(($C$12:$C39=C40)*($K$12:$K39))+1),1),0))</f>
        <v>0</v>
      </c>
      <c r="L40" s="176"/>
      <c r="M40" s="125"/>
      <c r="N40" s="126"/>
      <c r="O40" s="127"/>
      <c r="P40" s="128"/>
      <c r="Q40" s="129">
        <f t="shared" si="1"/>
        <v>0</v>
      </c>
      <c r="R40" s="130"/>
      <c r="S40" s="124"/>
      <c r="T40" s="131"/>
      <c r="U40" s="124"/>
      <c r="V40" s="124"/>
      <c r="W40" s="130"/>
      <c r="X40" s="131"/>
      <c r="Y40" s="132"/>
      <c r="Z40" s="132"/>
      <c r="AA40" s="133"/>
      <c r="AB40" s="134"/>
      <c r="AC40" s="135"/>
      <c r="AD40" s="134"/>
      <c r="AE40" s="134"/>
      <c r="AF40" s="136" t="str">
        <f t="shared" si="4"/>
        <v/>
      </c>
      <c r="AG40" s="131"/>
      <c r="AH40" s="137"/>
      <c r="AI40" s="138"/>
      <c r="AJ40" s="133"/>
      <c r="AK40" s="134"/>
      <c r="AL40" s="135"/>
      <c r="AM40" s="134"/>
      <c r="AN40" s="134"/>
      <c r="AO40" s="136" t="str">
        <f t="shared" si="2"/>
        <v/>
      </c>
      <c r="AP40" s="131"/>
      <c r="AQ40" s="137"/>
      <c r="AR40" s="138"/>
      <c r="AS40" s="36"/>
    </row>
    <row r="41" spans="1:45" s="38" customFormat="1" ht="16">
      <c r="A41" s="46"/>
      <c r="B41" s="123" t="str">
        <f>IF(AND(C41&lt;&gt;"",C40&lt;&gt;C41),MAX($B$13:B40)+1,"")</f>
        <v/>
      </c>
      <c r="C41" s="106"/>
      <c r="D41" s="125"/>
      <c r="E41" s="125"/>
      <c r="F41" s="124"/>
      <c r="G41" s="108" t="str">
        <f t="shared" si="3"/>
        <v/>
      </c>
      <c r="H41" s="109" t="str">
        <f ca="1">IF($G41=1,IF(MIN(OFFSET($AA41,0,0,COUNTIF($C41:$C$82,$C41),1))=0,"",MIN(OFFSET($AA41,0,0,COUNTIF($C41:$C$82,$C41),1))),"")</f>
        <v/>
      </c>
      <c r="I41" s="110" t="str">
        <f ca="1">IF($G41=1,IF(SUMPRODUCT(MAX(($C$13:$C$82=$C41)*($K$13:$K$82)))=COUNTIF($C41:$C$82,C41)-COUNTBLANK(OFFSET($AF41,0,0,COUNTIF($C41:$C$82,$C41),1)),IF(MAX(OFFSET($AF41,0,0,COUNTIF($C41:$C$82,$C41),1))=0,"",MAX(OFFSET($AF41,0,0,COUNTIF($C41:$C$82,$C41),1))),""),"")</f>
        <v/>
      </c>
      <c r="J41" s="111" t="str">
        <f>IF(C41=0,"",IF(C40=C41,SUMPRODUCT(MAX(($C$11:$C40=C41)*($J$11:$J40))+1),1))</f>
        <v/>
      </c>
      <c r="K41" s="108">
        <f>IF(C41=0,0,IF(AND(OR(N41="入力・確認",N41="確認"),O41&lt;&gt;"不要"),IF(C40=C41,SUMPRODUCT(MAX(($C$12:$C40=C41)*($K$12:$K40))+1),1),0))</f>
        <v>0</v>
      </c>
      <c r="L41" s="176"/>
      <c r="M41" s="125"/>
      <c r="N41" s="126"/>
      <c r="O41" s="127"/>
      <c r="P41" s="128"/>
      <c r="Q41" s="129">
        <f t="shared" si="1"/>
        <v>0</v>
      </c>
      <c r="R41" s="130"/>
      <c r="S41" s="124"/>
      <c r="T41" s="224"/>
      <c r="U41" s="224"/>
      <c r="V41" s="244"/>
      <c r="W41" s="245"/>
      <c r="X41" s="225"/>
      <c r="Y41" s="116"/>
      <c r="Z41" s="132"/>
      <c r="AA41" s="133"/>
      <c r="AB41" s="134"/>
      <c r="AC41" s="135"/>
      <c r="AD41" s="134"/>
      <c r="AE41" s="134"/>
      <c r="AF41" s="136" t="str">
        <f t="shared" si="4"/>
        <v/>
      </c>
      <c r="AG41" s="131"/>
      <c r="AH41" s="137"/>
      <c r="AI41" s="138"/>
      <c r="AJ41" s="133"/>
      <c r="AK41" s="134"/>
      <c r="AL41" s="135"/>
      <c r="AM41" s="134"/>
      <c r="AN41" s="134"/>
      <c r="AO41" s="136" t="str">
        <f t="shared" si="2"/>
        <v/>
      </c>
      <c r="AP41" s="131"/>
      <c r="AQ41" s="137"/>
      <c r="AR41" s="138"/>
      <c r="AS41" s="36"/>
    </row>
    <row r="42" spans="1:45" s="38" customFormat="1" ht="16">
      <c r="A42" s="46"/>
      <c r="B42" s="123" t="str">
        <f>IF(AND(C42&lt;&gt;"",C41&lt;&gt;C42),MAX($B$13:B41)+1,"")</f>
        <v/>
      </c>
      <c r="C42" s="106"/>
      <c r="D42" s="125"/>
      <c r="E42" s="125"/>
      <c r="F42" s="124"/>
      <c r="G42" s="108" t="str">
        <f t="shared" si="3"/>
        <v/>
      </c>
      <c r="H42" s="109" t="str">
        <f ca="1">IF($G42=1,IF(MIN(OFFSET($AA42,0,0,COUNTIF($C42:$C$82,$C42),1))=0,"",MIN(OFFSET($AA42,0,0,COUNTIF($C42:$C$82,$C42),1))),"")</f>
        <v/>
      </c>
      <c r="I42" s="110" t="str">
        <f ca="1">IF($G42=1,IF(SUMPRODUCT(MAX(($C$13:$C$82=$C42)*($K$13:$K$82)))=COUNTIF($C42:$C$82,C42)-COUNTBLANK(OFFSET($AF42,0,0,COUNTIF($C42:$C$82,$C42),1)),IF(MAX(OFFSET($AF42,0,0,COUNTIF($C42:$C$82,$C42),1))=0,"",MAX(OFFSET($AF42,0,0,COUNTIF($C42:$C$82,$C42),1))),""),"")</f>
        <v/>
      </c>
      <c r="J42" s="111" t="str">
        <f>IF(C42=0,"",IF(C41=C42,SUMPRODUCT(MAX(($C$11:$C41=C42)*($J$11:$J41))+1),1))</f>
        <v/>
      </c>
      <c r="K42" s="108">
        <f>IF(C42=0,0,IF(AND(OR(N42="入力・確認",N42="確認"),O42&lt;&gt;"不要"),IF(C41=C42,SUMPRODUCT(MAX(($C$12:$C41=C42)*($K$12:$K41))+1),1),0))</f>
        <v>0</v>
      </c>
      <c r="L42" s="176"/>
      <c r="M42" s="125"/>
      <c r="N42" s="126"/>
      <c r="O42" s="127"/>
      <c r="P42" s="128"/>
      <c r="Q42" s="129">
        <f t="shared" si="1"/>
        <v>0</v>
      </c>
      <c r="R42" s="130"/>
      <c r="S42" s="124"/>
      <c r="T42" s="131"/>
      <c r="U42" s="124"/>
      <c r="V42" s="124"/>
      <c r="W42" s="130"/>
      <c r="X42" s="131"/>
      <c r="Y42" s="132"/>
      <c r="Z42" s="132"/>
      <c r="AA42" s="133"/>
      <c r="AB42" s="134"/>
      <c r="AC42" s="135"/>
      <c r="AD42" s="134"/>
      <c r="AE42" s="134"/>
      <c r="AF42" s="136" t="str">
        <f t="shared" si="4"/>
        <v/>
      </c>
      <c r="AG42" s="131"/>
      <c r="AH42" s="137"/>
      <c r="AI42" s="138"/>
      <c r="AJ42" s="133"/>
      <c r="AK42" s="134"/>
      <c r="AL42" s="135"/>
      <c r="AM42" s="134"/>
      <c r="AN42" s="134"/>
      <c r="AO42" s="136" t="str">
        <f t="shared" si="2"/>
        <v/>
      </c>
      <c r="AP42" s="131"/>
      <c r="AQ42" s="137"/>
      <c r="AR42" s="138"/>
      <c r="AS42" s="36"/>
    </row>
    <row r="43" spans="1:45" s="38" customFormat="1" ht="16">
      <c r="A43" s="46"/>
      <c r="B43" s="123" t="str">
        <f>IF(AND(C43&lt;&gt;"",C42&lt;&gt;C43),MAX($B$13:B42)+1,"")</f>
        <v/>
      </c>
      <c r="C43" s="106"/>
      <c r="D43" s="125"/>
      <c r="E43" s="125"/>
      <c r="F43" s="124"/>
      <c r="G43" s="108" t="str">
        <f t="shared" si="3"/>
        <v/>
      </c>
      <c r="H43" s="109" t="str">
        <f ca="1">IF($G43=1,IF(MIN(OFFSET($AA43,0,0,COUNTIF($C43:$C$82,$C43),1))=0,"",MIN(OFFSET($AA43,0,0,COUNTIF($C43:$C$82,$C43),1))),"")</f>
        <v/>
      </c>
      <c r="I43" s="110" t="str">
        <f ca="1">IF($G43=1,IF(SUMPRODUCT(MAX(($C$13:$C$82=$C43)*($K$13:$K$82)))=COUNTIF($C43:$C$82,C43)-COUNTBLANK(OFFSET($AF43,0,0,COUNTIF($C43:$C$82,$C43),1)),IF(MAX(OFFSET($AF43,0,0,COUNTIF($C43:$C$82,$C43),1))=0,"",MAX(OFFSET($AF43,0,0,COUNTIF($C43:$C$82,$C43),1))),""),"")</f>
        <v/>
      </c>
      <c r="J43" s="111" t="str">
        <f>IF(C43=0,"",IF(C42=C43,SUMPRODUCT(MAX(($C$11:$C42=C43)*($J$11:$J42))+1),1))</f>
        <v/>
      </c>
      <c r="K43" s="108">
        <f>IF(C43=0,0,IF(AND(OR(N43="入力・確認",N43="確認"),O43&lt;&gt;"不要"),IF(C42=C43,SUMPRODUCT(MAX(($C$12:$C42=C43)*($K$12:$K42))+1),1),0))</f>
        <v>0</v>
      </c>
      <c r="L43" s="176"/>
      <c r="M43" s="125"/>
      <c r="N43" s="126"/>
      <c r="O43" s="127"/>
      <c r="P43" s="128"/>
      <c r="Q43" s="129">
        <f t="shared" si="1"/>
        <v>0</v>
      </c>
      <c r="R43" s="130"/>
      <c r="S43" s="124"/>
      <c r="T43" s="131"/>
      <c r="U43" s="124"/>
      <c r="V43" s="124"/>
      <c r="W43" s="130"/>
      <c r="X43" s="131"/>
      <c r="Y43" s="132"/>
      <c r="Z43" s="132"/>
      <c r="AA43" s="133"/>
      <c r="AB43" s="134"/>
      <c r="AC43" s="135"/>
      <c r="AD43" s="134"/>
      <c r="AE43" s="134"/>
      <c r="AF43" s="136" t="str">
        <f t="shared" si="4"/>
        <v/>
      </c>
      <c r="AG43" s="131"/>
      <c r="AH43" s="137"/>
      <c r="AI43" s="138"/>
      <c r="AJ43" s="133"/>
      <c r="AK43" s="134"/>
      <c r="AL43" s="135"/>
      <c r="AM43" s="134"/>
      <c r="AN43" s="134"/>
      <c r="AO43" s="136" t="str">
        <f t="shared" si="2"/>
        <v/>
      </c>
      <c r="AP43" s="131"/>
      <c r="AQ43" s="137"/>
      <c r="AR43" s="138"/>
      <c r="AS43" s="36"/>
    </row>
    <row r="44" spans="1:45" s="38" customFormat="1" ht="16">
      <c r="A44" s="46"/>
      <c r="B44" s="123" t="str">
        <f>IF(AND(C44&lt;&gt;"",C43&lt;&gt;C44),MAX($B$13:B43)+1,"")</f>
        <v/>
      </c>
      <c r="C44" s="106"/>
      <c r="D44" s="125"/>
      <c r="E44" s="125"/>
      <c r="F44" s="124"/>
      <c r="G44" s="108" t="str">
        <f t="shared" si="3"/>
        <v/>
      </c>
      <c r="H44" s="109" t="str">
        <f ca="1">IF($G44=1,IF(MIN(OFFSET($AA44,0,0,COUNTIF($C44:$C$82,$C44),1))=0,"",MIN(OFFSET($AA44,0,0,COUNTIF($C44:$C$82,$C44),1))),"")</f>
        <v/>
      </c>
      <c r="I44" s="110" t="str">
        <f ca="1">IF($G44=1,IF(SUMPRODUCT(MAX(($C$13:$C$82=$C44)*($K$13:$K$82)))=COUNTIF($C44:$C$82,C44)-COUNTBLANK(OFFSET($AF44,0,0,COUNTIF($C44:$C$82,$C44),1)),IF(MAX(OFFSET($AF44,0,0,COUNTIF($C44:$C$82,$C44),1))=0,"",MAX(OFFSET($AF44,0,0,COUNTIF($C44:$C$82,$C44),1))),""),"")</f>
        <v/>
      </c>
      <c r="J44" s="111" t="str">
        <f>IF(C44=0,"",IF(C43=C44,SUMPRODUCT(MAX(($C$11:$C43=C44)*($J$11:$J43))+1),1))</f>
        <v/>
      </c>
      <c r="K44" s="108">
        <f>IF(C44=0,0,IF(AND(OR(N44="入力・確認",N44="確認"),O44&lt;&gt;"不要"),IF(C43=C44,SUMPRODUCT(MAX(($C$12:$C43=C44)*($K$12:$K43))+1),1),0))</f>
        <v>0</v>
      </c>
      <c r="L44" s="176"/>
      <c r="M44" s="125"/>
      <c r="N44" s="126"/>
      <c r="O44" s="127"/>
      <c r="P44" s="128"/>
      <c r="Q44" s="129">
        <f t="shared" si="1"/>
        <v>0</v>
      </c>
      <c r="R44" s="130"/>
      <c r="S44" s="124"/>
      <c r="T44" s="131"/>
      <c r="U44" s="124"/>
      <c r="V44" s="124"/>
      <c r="W44" s="130"/>
      <c r="X44" s="131"/>
      <c r="Y44" s="132"/>
      <c r="Z44" s="132"/>
      <c r="AA44" s="133"/>
      <c r="AB44" s="134"/>
      <c r="AC44" s="135"/>
      <c r="AD44" s="134"/>
      <c r="AE44" s="134"/>
      <c r="AF44" s="136" t="str">
        <f t="shared" si="4"/>
        <v/>
      </c>
      <c r="AG44" s="131"/>
      <c r="AH44" s="137"/>
      <c r="AI44" s="138"/>
      <c r="AJ44" s="133"/>
      <c r="AK44" s="134"/>
      <c r="AL44" s="135"/>
      <c r="AM44" s="134"/>
      <c r="AN44" s="134"/>
      <c r="AO44" s="136" t="str">
        <f t="shared" si="2"/>
        <v/>
      </c>
      <c r="AP44" s="131"/>
      <c r="AQ44" s="137"/>
      <c r="AR44" s="138"/>
      <c r="AS44" s="36"/>
    </row>
    <row r="45" spans="1:45" s="38" customFormat="1" ht="16">
      <c r="A45" s="46"/>
      <c r="B45" s="123" t="str">
        <f>IF(AND(C45&lt;&gt;"",C44&lt;&gt;C45),MAX($B$13:B44)+1,"")</f>
        <v/>
      </c>
      <c r="C45" s="106"/>
      <c r="D45" s="125"/>
      <c r="E45" s="125"/>
      <c r="F45" s="124"/>
      <c r="G45" s="108" t="str">
        <f t="shared" si="3"/>
        <v/>
      </c>
      <c r="H45" s="109" t="str">
        <f ca="1">IF($G45=1,IF(MIN(OFFSET($AA45,0,0,COUNTIF($C45:$C$82,$C45),1))=0,"",MIN(OFFSET($AA45,0,0,COUNTIF($C45:$C$82,$C45),1))),"")</f>
        <v/>
      </c>
      <c r="I45" s="110" t="str">
        <f ca="1">IF($G45=1,IF(SUMPRODUCT(MAX(($C$13:$C$82=$C45)*($K$13:$K$82)))=COUNTIF($C45:$C$82,C45)-COUNTBLANK(OFFSET($AF45,0,0,COUNTIF($C45:$C$82,$C45),1)),IF(MAX(OFFSET($AF45,0,0,COUNTIF($C45:$C$82,$C45),1))=0,"",MAX(OFFSET($AF45,0,0,COUNTIF($C45:$C$82,$C45),1))),""),"")</f>
        <v/>
      </c>
      <c r="J45" s="111" t="str">
        <f>IF(C45=0,"",IF(C44=C45,SUMPRODUCT(MAX(($C$11:$C44=C45)*($J$11:$J44))+1),1))</f>
        <v/>
      </c>
      <c r="K45" s="108">
        <f>IF(C45=0,0,IF(AND(OR(N45="入力・確認",N45="確認"),O45&lt;&gt;"不要"),IF(C44=C45,SUMPRODUCT(MAX(($C$12:$C44=C45)*($K$12:$K44))+1),1),0))</f>
        <v>0</v>
      </c>
      <c r="L45" s="176"/>
      <c r="M45" s="125"/>
      <c r="N45" s="126"/>
      <c r="O45" s="127"/>
      <c r="P45" s="128"/>
      <c r="Q45" s="129">
        <f t="shared" si="1"/>
        <v>0</v>
      </c>
      <c r="R45" s="130"/>
      <c r="S45" s="124"/>
      <c r="T45" s="131"/>
      <c r="U45" s="124"/>
      <c r="V45" s="124"/>
      <c r="W45" s="130"/>
      <c r="X45" s="131"/>
      <c r="Y45" s="132"/>
      <c r="Z45" s="132"/>
      <c r="AA45" s="133"/>
      <c r="AB45" s="134"/>
      <c r="AC45" s="135"/>
      <c r="AD45" s="134"/>
      <c r="AE45" s="134"/>
      <c r="AF45" s="136" t="str">
        <f t="shared" si="4"/>
        <v/>
      </c>
      <c r="AG45" s="131"/>
      <c r="AH45" s="137"/>
      <c r="AI45" s="138"/>
      <c r="AJ45" s="133"/>
      <c r="AK45" s="134"/>
      <c r="AL45" s="135"/>
      <c r="AM45" s="134"/>
      <c r="AN45" s="134"/>
      <c r="AO45" s="136" t="str">
        <f t="shared" si="2"/>
        <v/>
      </c>
      <c r="AP45" s="131"/>
      <c r="AQ45" s="137"/>
      <c r="AR45" s="138"/>
      <c r="AS45" s="36"/>
    </row>
    <row r="46" spans="1:45" s="38" customFormat="1" ht="16">
      <c r="A46" s="46"/>
      <c r="B46" s="123" t="str">
        <f>IF(AND(C46&lt;&gt;"",C45&lt;&gt;C46),MAX($B$13:B45)+1,"")</f>
        <v/>
      </c>
      <c r="C46" s="106"/>
      <c r="D46" s="125"/>
      <c r="E46" s="125"/>
      <c r="F46" s="124"/>
      <c r="G46" s="108" t="str">
        <f t="shared" si="3"/>
        <v/>
      </c>
      <c r="H46" s="109" t="str">
        <f ca="1">IF($G46=1,IF(MIN(OFFSET($AA46,0,0,COUNTIF($C46:$C$82,$C46),1))=0,"",MIN(OFFSET($AA46,0,0,COUNTIF($C46:$C$82,$C46),1))),"")</f>
        <v/>
      </c>
      <c r="I46" s="110" t="str">
        <f ca="1">IF($G46=1,IF(SUMPRODUCT(MAX(($C$13:$C$82=$C46)*($K$13:$K$82)))=COUNTIF($C46:$C$82,C46)-COUNTBLANK(OFFSET($AF46,0,0,COUNTIF($C46:$C$82,$C46),1)),IF(MAX(OFFSET($AF46,0,0,COUNTIF($C46:$C$82,$C46),1))=0,"",MAX(OFFSET($AF46,0,0,COUNTIF($C46:$C$82,$C46),1))),""),"")</f>
        <v/>
      </c>
      <c r="J46" s="111" t="str">
        <f>IF(C46=0,"",IF(C45=C46,SUMPRODUCT(MAX(($C$11:$C45=C46)*($J$11:$J45))+1),1))</f>
        <v/>
      </c>
      <c r="K46" s="108">
        <f>IF(C46=0,0,IF(AND(OR(N46="入力・確認",N46="確認"),O46&lt;&gt;"不要"),IF(C45=C46,SUMPRODUCT(MAX(($C$12:$C45=C46)*($K$12:$K45))+1),1),0))</f>
        <v>0</v>
      </c>
      <c r="L46" s="176"/>
      <c r="M46" s="125"/>
      <c r="N46" s="126"/>
      <c r="O46" s="127"/>
      <c r="P46" s="128"/>
      <c r="Q46" s="129">
        <f t="shared" si="1"/>
        <v>0</v>
      </c>
      <c r="R46" s="130"/>
      <c r="S46" s="124"/>
      <c r="T46" s="131"/>
      <c r="U46" s="124"/>
      <c r="V46" s="124"/>
      <c r="W46" s="130"/>
      <c r="X46" s="131"/>
      <c r="Y46" s="132"/>
      <c r="Z46" s="132"/>
      <c r="AA46" s="133"/>
      <c r="AB46" s="134"/>
      <c r="AC46" s="135"/>
      <c r="AD46" s="134"/>
      <c r="AE46" s="134"/>
      <c r="AF46" s="136" t="str">
        <f t="shared" si="4"/>
        <v/>
      </c>
      <c r="AG46" s="131"/>
      <c r="AH46" s="137"/>
      <c r="AI46" s="138"/>
      <c r="AJ46" s="133"/>
      <c r="AK46" s="134"/>
      <c r="AL46" s="135"/>
      <c r="AM46" s="134"/>
      <c r="AN46" s="134"/>
      <c r="AO46" s="136" t="str">
        <f t="shared" si="2"/>
        <v/>
      </c>
      <c r="AP46" s="131"/>
      <c r="AQ46" s="137"/>
      <c r="AR46" s="138"/>
      <c r="AS46" s="36"/>
    </row>
    <row r="47" spans="1:45" s="38" customFormat="1" ht="16">
      <c r="A47" s="46"/>
      <c r="B47" s="123" t="str">
        <f>IF(AND(C47&lt;&gt;"",C46&lt;&gt;C47),MAX($B$13:B46)+1,"")</f>
        <v/>
      </c>
      <c r="C47" s="106"/>
      <c r="D47" s="125"/>
      <c r="E47" s="125"/>
      <c r="F47" s="124"/>
      <c r="G47" s="108" t="str">
        <f t="shared" si="3"/>
        <v/>
      </c>
      <c r="H47" s="109" t="str">
        <f ca="1">IF($G47=1,IF(MIN(OFFSET($AA47,0,0,COUNTIF($C47:$C$82,$C47),1))=0,"",MIN(OFFSET($AA47,0,0,COUNTIF($C47:$C$82,$C47),1))),"")</f>
        <v/>
      </c>
      <c r="I47" s="110" t="str">
        <f ca="1">IF($G47=1,IF(SUMPRODUCT(MAX(($C$13:$C$82=$C47)*($K$13:$K$82)))=COUNTIF($C47:$C$82,C47)-COUNTBLANK(OFFSET($AF47,0,0,COUNTIF($C47:$C$82,$C47),1)),IF(MAX(OFFSET($AF47,0,0,COUNTIF($C47:$C$82,$C47),1))=0,"",MAX(OFFSET($AF47,0,0,COUNTIF($C47:$C$82,$C47),1))),""),"")</f>
        <v/>
      </c>
      <c r="J47" s="111" t="str">
        <f>IF(C47=0,"",IF(C46=C47,SUMPRODUCT(MAX(($C$11:$C46=C47)*($J$11:$J46))+1),1))</f>
        <v/>
      </c>
      <c r="K47" s="108">
        <f>IF(C47=0,0,IF(AND(OR(N47="入力・確認",N47="確認"),O47&lt;&gt;"不要"),IF(C46=C47,SUMPRODUCT(MAX(($C$12:$C46=C47)*($K$12:$K46))+1),1),0))</f>
        <v>0</v>
      </c>
      <c r="L47" s="176"/>
      <c r="M47" s="125"/>
      <c r="N47" s="126"/>
      <c r="O47" s="127"/>
      <c r="P47" s="128"/>
      <c r="Q47" s="129">
        <f t="shared" si="1"/>
        <v>0</v>
      </c>
      <c r="R47" s="130"/>
      <c r="S47" s="124"/>
      <c r="T47" s="131"/>
      <c r="U47" s="131"/>
      <c r="V47" s="124"/>
      <c r="W47" s="130"/>
      <c r="X47" s="131"/>
      <c r="Y47" s="132"/>
      <c r="Z47" s="132"/>
      <c r="AA47" s="133"/>
      <c r="AB47" s="134"/>
      <c r="AC47" s="135"/>
      <c r="AD47" s="134"/>
      <c r="AE47" s="134"/>
      <c r="AF47" s="136" t="str">
        <f t="shared" si="4"/>
        <v/>
      </c>
      <c r="AG47" s="131"/>
      <c r="AH47" s="137"/>
      <c r="AI47" s="138"/>
      <c r="AJ47" s="133"/>
      <c r="AK47" s="134"/>
      <c r="AL47" s="135"/>
      <c r="AM47" s="134"/>
      <c r="AN47" s="134"/>
      <c r="AO47" s="136" t="str">
        <f t="shared" si="2"/>
        <v/>
      </c>
      <c r="AP47" s="131"/>
      <c r="AQ47" s="137"/>
      <c r="AR47" s="138"/>
      <c r="AS47" s="36"/>
    </row>
    <row r="48" spans="1:45" s="38" customFormat="1" ht="16">
      <c r="A48" s="46"/>
      <c r="B48" s="123" t="str">
        <f>IF(AND(C48&lt;&gt;"",C47&lt;&gt;C48),MAX($B$13:B47)+1,"")</f>
        <v/>
      </c>
      <c r="C48" s="106"/>
      <c r="D48" s="125"/>
      <c r="E48" s="125"/>
      <c r="F48" s="124"/>
      <c r="G48" s="108" t="str">
        <f t="shared" si="3"/>
        <v/>
      </c>
      <c r="H48" s="109" t="str">
        <f ca="1">IF($G48=1,IF(MIN(OFFSET($AA48,0,0,COUNTIF($C48:$C$82,$C48),1))=0,"",MIN(OFFSET($AA48,0,0,COUNTIF($C48:$C$82,$C48),1))),"")</f>
        <v/>
      </c>
      <c r="I48" s="110" t="str">
        <f ca="1">IF($G48=1,IF(SUMPRODUCT(MAX(($C$13:$C$82=$C48)*($K$13:$K$82)))=COUNTIF($C48:$C$82,C48)-COUNTBLANK(OFFSET($AF48,0,0,COUNTIF($C48:$C$82,$C48),1)),IF(MAX(OFFSET($AF48,0,0,COUNTIF($C48:$C$82,$C48),1))=0,"",MAX(OFFSET($AF48,0,0,COUNTIF($C48:$C$82,$C48),1))),""),"")</f>
        <v/>
      </c>
      <c r="J48" s="111" t="str">
        <f>IF(C48=0,"",IF(C47=C48,SUMPRODUCT(MAX(($C$11:$C47=C48)*($J$11:$J47))+1),1))</f>
        <v/>
      </c>
      <c r="K48" s="108">
        <f>IF(C48=0,0,IF(AND(OR(N48="入力・確認",N48="確認"),O48&lt;&gt;"不要"),IF(C47=C48,SUMPRODUCT(MAX(($C$12:$C47=C48)*($K$12:$K47))+1),1),0))</f>
        <v>0</v>
      </c>
      <c r="L48" s="176"/>
      <c r="M48" s="125"/>
      <c r="N48" s="126"/>
      <c r="O48" s="127"/>
      <c r="P48" s="128"/>
      <c r="Q48" s="129">
        <f t="shared" si="1"/>
        <v>0</v>
      </c>
      <c r="R48" s="130"/>
      <c r="S48" s="124"/>
      <c r="T48" s="131"/>
      <c r="U48" s="131"/>
      <c r="V48" s="124"/>
      <c r="W48" s="130"/>
      <c r="X48" s="131"/>
      <c r="Y48" s="132"/>
      <c r="Z48" s="132"/>
      <c r="AA48" s="133"/>
      <c r="AB48" s="134"/>
      <c r="AC48" s="135"/>
      <c r="AD48" s="134"/>
      <c r="AE48" s="134"/>
      <c r="AF48" s="136" t="str">
        <f t="shared" si="4"/>
        <v/>
      </c>
      <c r="AG48" s="131"/>
      <c r="AH48" s="137"/>
      <c r="AI48" s="138"/>
      <c r="AJ48" s="133"/>
      <c r="AK48" s="134"/>
      <c r="AL48" s="135"/>
      <c r="AM48" s="134"/>
      <c r="AN48" s="134"/>
      <c r="AO48" s="136" t="str">
        <f t="shared" si="2"/>
        <v/>
      </c>
      <c r="AP48" s="131"/>
      <c r="AQ48" s="137"/>
      <c r="AR48" s="138"/>
      <c r="AS48" s="36"/>
    </row>
    <row r="49" spans="1:45" s="38" customFormat="1" ht="16">
      <c r="A49" s="46"/>
      <c r="B49" s="123" t="str">
        <f>IF(AND(C49&lt;&gt;"",C48&lt;&gt;C49),MAX($B$13:B48)+1,"")</f>
        <v/>
      </c>
      <c r="C49" s="106"/>
      <c r="D49" s="125"/>
      <c r="E49" s="125"/>
      <c r="F49" s="124"/>
      <c r="G49" s="108" t="str">
        <f t="shared" si="3"/>
        <v/>
      </c>
      <c r="H49" s="109" t="str">
        <f ca="1">IF($G49=1,IF(MIN(OFFSET($AA49,0,0,COUNTIF($C49:$C$82,$C49),1))=0,"",MIN(OFFSET($AA49,0,0,COUNTIF($C49:$C$82,$C49),1))),"")</f>
        <v/>
      </c>
      <c r="I49" s="110" t="str">
        <f ca="1">IF($G49=1,IF(SUMPRODUCT(MAX(($C$13:$C$82=$C49)*($K$13:$K$82)))=COUNTIF($C49:$C$82,C49)-COUNTBLANK(OFFSET($AF49,0,0,COUNTIF($C49:$C$82,$C49),1)),IF(MAX(OFFSET($AF49,0,0,COUNTIF($C49:$C$82,$C49),1))=0,"",MAX(OFFSET($AF49,0,0,COUNTIF($C49:$C$82,$C49),1))),""),"")</f>
        <v/>
      </c>
      <c r="J49" s="111" t="str">
        <f>IF(C49=0,"",IF(C48=C49,SUMPRODUCT(MAX(($C$11:$C48=C49)*($J$11:$J48))+1),1))</f>
        <v/>
      </c>
      <c r="K49" s="108">
        <f>IF(C49=0,0,IF(AND(OR(N49="入力・確認",N49="確認"),O49&lt;&gt;"不要"),IF(C48=C49,SUMPRODUCT(MAX(($C$12:$C48=C49)*($K$12:$K48))+1),1),0))</f>
        <v>0</v>
      </c>
      <c r="L49" s="176"/>
      <c r="M49" s="125"/>
      <c r="N49" s="126"/>
      <c r="O49" s="127"/>
      <c r="P49" s="128"/>
      <c r="Q49" s="129">
        <f t="shared" si="1"/>
        <v>0</v>
      </c>
      <c r="R49" s="130"/>
      <c r="S49" s="124"/>
      <c r="T49" s="131"/>
      <c r="U49" s="124"/>
      <c r="V49" s="124"/>
      <c r="W49" s="130"/>
      <c r="X49" s="131"/>
      <c r="Y49" s="132"/>
      <c r="Z49" s="132"/>
      <c r="AA49" s="133"/>
      <c r="AB49" s="134"/>
      <c r="AC49" s="135"/>
      <c r="AD49" s="134"/>
      <c r="AE49" s="134"/>
      <c r="AF49" s="136" t="str">
        <f t="shared" si="4"/>
        <v/>
      </c>
      <c r="AG49" s="131"/>
      <c r="AH49" s="137"/>
      <c r="AI49" s="138"/>
      <c r="AJ49" s="133"/>
      <c r="AK49" s="134"/>
      <c r="AL49" s="135"/>
      <c r="AM49" s="134"/>
      <c r="AN49" s="134"/>
      <c r="AO49" s="136" t="str">
        <f t="shared" si="2"/>
        <v/>
      </c>
      <c r="AP49" s="131"/>
      <c r="AQ49" s="137"/>
      <c r="AR49" s="138"/>
      <c r="AS49" s="36"/>
    </row>
    <row r="50" spans="1:45" s="38" customFormat="1" ht="16">
      <c r="A50" s="46"/>
      <c r="B50" s="123" t="str">
        <f>IF(AND(C50&lt;&gt;"",C49&lt;&gt;C50),MAX($B$13:B49)+1,"")</f>
        <v/>
      </c>
      <c r="C50" s="106"/>
      <c r="D50" s="125"/>
      <c r="E50" s="125"/>
      <c r="F50" s="124"/>
      <c r="G50" s="108" t="str">
        <f t="shared" si="3"/>
        <v/>
      </c>
      <c r="H50" s="109" t="str">
        <f ca="1">IF($G50=1,IF(MIN(OFFSET($AA50,0,0,COUNTIF($C50:$C$82,$C50),1))=0,"",MIN(OFFSET($AA50,0,0,COUNTIF($C50:$C$82,$C50),1))),"")</f>
        <v/>
      </c>
      <c r="I50" s="110" t="str">
        <f ca="1">IF($G50=1,IF(SUMPRODUCT(MAX(($C$13:$C$82=$C50)*($K$13:$K$82)))=COUNTIF($C50:$C$82,C50)-COUNTBLANK(OFFSET($AF50,0,0,COUNTIF($C50:$C$82,$C50),1)),IF(MAX(OFFSET($AF50,0,0,COUNTIF($C50:$C$82,$C50),1))=0,"",MAX(OFFSET($AF50,0,0,COUNTIF($C50:$C$82,$C50),1))),""),"")</f>
        <v/>
      </c>
      <c r="J50" s="111" t="str">
        <f>IF(C50=0,"",IF(C49=C50,SUMPRODUCT(MAX(($C$11:$C49=C50)*($J$11:$J49))+1),1))</f>
        <v/>
      </c>
      <c r="K50" s="108">
        <f>IF(C50=0,0,IF(AND(OR(N50="入力・確認",N50="確認"),O50&lt;&gt;"不要"),IF(C49=C50,SUMPRODUCT(MAX(($C$12:$C49=C50)*($K$12:$K49))+1),1),0))</f>
        <v>0</v>
      </c>
      <c r="L50" s="176"/>
      <c r="M50" s="125"/>
      <c r="N50" s="126"/>
      <c r="O50" s="127"/>
      <c r="P50" s="128"/>
      <c r="Q50" s="129">
        <f t="shared" si="1"/>
        <v>0</v>
      </c>
      <c r="R50" s="130"/>
      <c r="S50" s="124"/>
      <c r="T50" s="131"/>
      <c r="U50" s="124"/>
      <c r="V50" s="124"/>
      <c r="W50" s="130"/>
      <c r="X50" s="131"/>
      <c r="Y50" s="132"/>
      <c r="Z50" s="132"/>
      <c r="AA50" s="133"/>
      <c r="AB50" s="134"/>
      <c r="AC50" s="135"/>
      <c r="AD50" s="134"/>
      <c r="AE50" s="134"/>
      <c r="AF50" s="136" t="str">
        <f t="shared" si="4"/>
        <v/>
      </c>
      <c r="AG50" s="131"/>
      <c r="AH50" s="137"/>
      <c r="AI50" s="138"/>
      <c r="AJ50" s="133"/>
      <c r="AK50" s="134"/>
      <c r="AL50" s="135"/>
      <c r="AM50" s="134"/>
      <c r="AN50" s="134"/>
      <c r="AO50" s="136" t="str">
        <f t="shared" si="2"/>
        <v/>
      </c>
      <c r="AP50" s="131"/>
      <c r="AQ50" s="137"/>
      <c r="AR50" s="138"/>
      <c r="AS50" s="36"/>
    </row>
    <row r="51" spans="1:45" s="38" customFormat="1" ht="16">
      <c r="A51" s="46"/>
      <c r="B51" s="123" t="str">
        <f>IF(AND(C51&lt;&gt;"",C50&lt;&gt;C51),MAX($B$13:B50)+1,"")</f>
        <v/>
      </c>
      <c r="C51" s="106"/>
      <c r="D51" s="125"/>
      <c r="E51" s="125"/>
      <c r="F51" s="124"/>
      <c r="G51" s="108" t="str">
        <f t="shared" si="3"/>
        <v/>
      </c>
      <c r="H51" s="109" t="str">
        <f ca="1">IF($G51=1,IF(MIN(OFFSET($AA51,0,0,COUNTIF($C51:$C$82,$C51),1))=0,"",MIN(OFFSET($AA51,0,0,COUNTIF($C51:$C$82,$C51),1))),"")</f>
        <v/>
      </c>
      <c r="I51" s="110" t="str">
        <f ca="1">IF($G51=1,IF(SUMPRODUCT(MAX(($C$13:$C$82=$C51)*($K$13:$K$82)))=COUNTIF($C51:$C$82,C51)-COUNTBLANK(OFFSET($AF51,0,0,COUNTIF($C51:$C$82,$C51),1)),IF(MAX(OFFSET($AF51,0,0,COUNTIF($C51:$C$82,$C51),1))=0,"",MAX(OFFSET($AF51,0,0,COUNTIF($C51:$C$82,$C51),1))),""),"")</f>
        <v/>
      </c>
      <c r="J51" s="111" t="str">
        <f>IF(C51=0,"",IF(C50=C51,SUMPRODUCT(MAX(($C$11:$C50=C51)*($J$11:$J50))+1),1))</f>
        <v/>
      </c>
      <c r="K51" s="108">
        <f>IF(C51=0,0,IF(AND(OR(N51="入力・確認",N51="確認"),O51&lt;&gt;"不要"),IF(C50=C51,SUMPRODUCT(MAX(($C$12:$C50=C51)*($K$12:$K50))+1),1),0))</f>
        <v>0</v>
      </c>
      <c r="L51" s="176"/>
      <c r="M51" s="125"/>
      <c r="N51" s="126"/>
      <c r="O51" s="127"/>
      <c r="P51" s="128"/>
      <c r="Q51" s="129">
        <f t="shared" si="1"/>
        <v>0</v>
      </c>
      <c r="R51" s="130"/>
      <c r="S51" s="124"/>
      <c r="T51" s="131"/>
      <c r="U51" s="124"/>
      <c r="V51" s="124"/>
      <c r="W51" s="130"/>
      <c r="X51" s="131"/>
      <c r="Y51" s="132"/>
      <c r="Z51" s="132"/>
      <c r="AA51" s="133"/>
      <c r="AB51" s="134"/>
      <c r="AC51" s="135"/>
      <c r="AD51" s="134"/>
      <c r="AE51" s="134"/>
      <c r="AF51" s="136" t="str">
        <f t="shared" si="4"/>
        <v/>
      </c>
      <c r="AG51" s="131"/>
      <c r="AH51" s="137"/>
      <c r="AI51" s="138"/>
      <c r="AJ51" s="133"/>
      <c r="AK51" s="134"/>
      <c r="AL51" s="135"/>
      <c r="AM51" s="134"/>
      <c r="AN51" s="134"/>
      <c r="AO51" s="136" t="str">
        <f t="shared" si="2"/>
        <v/>
      </c>
      <c r="AP51" s="131"/>
      <c r="AQ51" s="137"/>
      <c r="AR51" s="138"/>
      <c r="AS51" s="36"/>
    </row>
    <row r="52" spans="1:45" s="38" customFormat="1" ht="16">
      <c r="A52" s="46"/>
      <c r="B52" s="123" t="str">
        <f>IF(AND(C52&lt;&gt;"",C51&lt;&gt;C52),MAX($B$13:B51)+1,"")</f>
        <v/>
      </c>
      <c r="C52" s="106"/>
      <c r="D52" s="125"/>
      <c r="E52" s="125"/>
      <c r="F52" s="124"/>
      <c r="G52" s="108" t="str">
        <f t="shared" si="3"/>
        <v/>
      </c>
      <c r="H52" s="109" t="str">
        <f ca="1">IF($G52=1,IF(MIN(OFFSET($AA52,0,0,COUNTIF($C52:$C$82,$C52),1))=0,"",MIN(OFFSET($AA52,0,0,COUNTIF($C52:$C$82,$C52),1))),"")</f>
        <v/>
      </c>
      <c r="I52" s="110" t="str">
        <f ca="1">IF($G52=1,IF(SUMPRODUCT(MAX(($C$13:$C$82=$C52)*($K$13:$K$82)))=COUNTIF($C52:$C$82,C52)-COUNTBLANK(OFFSET($AF52,0,0,COUNTIF($C52:$C$82,$C52),1)),IF(MAX(OFFSET($AF52,0,0,COUNTIF($C52:$C$82,$C52),1))=0,"",MAX(OFFSET($AF52,0,0,COUNTIF($C52:$C$82,$C52),1))),""),"")</f>
        <v/>
      </c>
      <c r="J52" s="111" t="str">
        <f>IF(C52=0,"",IF(C51=C52,SUMPRODUCT(MAX(($C$11:$C51=C52)*($J$11:$J51))+1),1))</f>
        <v/>
      </c>
      <c r="K52" s="108">
        <f>IF(C52=0,0,IF(AND(OR(N52="入力・確認",N52="確認"),O52&lt;&gt;"不要"),IF(C51=C52,SUMPRODUCT(MAX(($C$12:$C51=C52)*($K$12:$K51))+1),1),0))</f>
        <v>0</v>
      </c>
      <c r="L52" s="176"/>
      <c r="M52" s="125"/>
      <c r="N52" s="126"/>
      <c r="O52" s="127"/>
      <c r="P52" s="128"/>
      <c r="Q52" s="129">
        <f t="shared" si="1"/>
        <v>0</v>
      </c>
      <c r="R52" s="130"/>
      <c r="S52" s="124"/>
      <c r="T52" s="131"/>
      <c r="U52" s="131"/>
      <c r="V52" s="124"/>
      <c r="W52" s="130"/>
      <c r="X52" s="131"/>
      <c r="Y52" s="132"/>
      <c r="Z52" s="132"/>
      <c r="AA52" s="133"/>
      <c r="AB52" s="134"/>
      <c r="AC52" s="135"/>
      <c r="AD52" s="134"/>
      <c r="AE52" s="134"/>
      <c r="AF52" s="136" t="str">
        <f t="shared" si="4"/>
        <v/>
      </c>
      <c r="AG52" s="131"/>
      <c r="AH52" s="137"/>
      <c r="AI52" s="138"/>
      <c r="AJ52" s="133"/>
      <c r="AK52" s="134"/>
      <c r="AL52" s="135"/>
      <c r="AM52" s="134"/>
      <c r="AN52" s="134"/>
      <c r="AO52" s="136" t="str">
        <f t="shared" si="2"/>
        <v/>
      </c>
      <c r="AP52" s="131"/>
      <c r="AQ52" s="137"/>
      <c r="AR52" s="138"/>
      <c r="AS52" s="36"/>
    </row>
    <row r="53" spans="1:45" s="38" customFormat="1" ht="16">
      <c r="A53" s="46"/>
      <c r="B53" s="123" t="str">
        <f>IF(AND(C53&lt;&gt;"",C52&lt;&gt;C53),MAX($B$13:B52)+1,"")</f>
        <v/>
      </c>
      <c r="C53" s="106"/>
      <c r="D53" s="125"/>
      <c r="E53" s="125"/>
      <c r="F53" s="124"/>
      <c r="G53" s="108" t="str">
        <f t="shared" si="3"/>
        <v/>
      </c>
      <c r="H53" s="109" t="str">
        <f ca="1">IF($G53=1,IF(MIN(OFFSET($AA53,0,0,COUNTIF($C53:$C$82,$C53),1))=0,"",MIN(OFFSET($AA53,0,0,COUNTIF($C53:$C$82,$C53),1))),"")</f>
        <v/>
      </c>
      <c r="I53" s="110" t="str">
        <f ca="1">IF($G53=1,IF(SUMPRODUCT(MAX(($C$13:$C$82=$C53)*($K$13:$K$82)))=COUNTIF($C53:$C$82,C53)-COUNTBLANK(OFFSET($AF53,0,0,COUNTIF($C53:$C$82,$C53),1)),IF(MAX(OFFSET($AF53,0,0,COUNTIF($C53:$C$82,$C53),1))=0,"",MAX(OFFSET($AF53,0,0,COUNTIF($C53:$C$82,$C53),1))),""),"")</f>
        <v/>
      </c>
      <c r="J53" s="111" t="str">
        <f>IF(C53=0,"",IF(C52=C53,SUMPRODUCT(MAX(($C$11:$C52=C53)*($J$11:$J52))+1),1))</f>
        <v/>
      </c>
      <c r="K53" s="108">
        <f>IF(C53=0,0,IF(AND(OR(N53="入力・確認",N53="確認"),O53&lt;&gt;"不要"),IF(C52=C53,SUMPRODUCT(MAX(($C$12:$C52=C53)*($K$12:$K52))+1),1),0))</f>
        <v>0</v>
      </c>
      <c r="L53" s="176"/>
      <c r="M53" s="125"/>
      <c r="N53" s="126"/>
      <c r="O53" s="127"/>
      <c r="P53" s="128"/>
      <c r="Q53" s="129">
        <f t="shared" si="1"/>
        <v>0</v>
      </c>
      <c r="R53" s="130"/>
      <c r="S53" s="124"/>
      <c r="T53" s="131"/>
      <c r="U53" s="124"/>
      <c r="V53" s="124"/>
      <c r="W53" s="130"/>
      <c r="X53" s="131"/>
      <c r="Y53" s="132"/>
      <c r="Z53" s="132"/>
      <c r="AA53" s="133"/>
      <c r="AB53" s="134"/>
      <c r="AC53" s="135"/>
      <c r="AD53" s="134"/>
      <c r="AE53" s="134"/>
      <c r="AF53" s="136" t="str">
        <f t="shared" si="4"/>
        <v/>
      </c>
      <c r="AG53" s="131"/>
      <c r="AH53" s="137"/>
      <c r="AI53" s="138"/>
      <c r="AJ53" s="133"/>
      <c r="AK53" s="134"/>
      <c r="AL53" s="135"/>
      <c r="AM53" s="134"/>
      <c r="AN53" s="134"/>
      <c r="AO53" s="136" t="str">
        <f t="shared" si="2"/>
        <v/>
      </c>
      <c r="AP53" s="131"/>
      <c r="AQ53" s="137"/>
      <c r="AR53" s="138"/>
      <c r="AS53" s="36"/>
    </row>
    <row r="54" spans="1:45" s="38" customFormat="1" ht="16">
      <c r="A54" s="46"/>
      <c r="B54" s="123" t="str">
        <f>IF(AND(C54&lt;&gt;"",C53&lt;&gt;C54),MAX($B$13:B53)+1,"")</f>
        <v/>
      </c>
      <c r="C54" s="106"/>
      <c r="D54" s="125"/>
      <c r="E54" s="125"/>
      <c r="F54" s="124"/>
      <c r="G54" s="108" t="str">
        <f t="shared" si="3"/>
        <v/>
      </c>
      <c r="H54" s="109" t="str">
        <f ca="1">IF($G54=1,IF(MIN(OFFSET($AA54,0,0,COUNTIF($C54:$C$82,$C54),1))=0,"",MIN(OFFSET($AA54,0,0,COUNTIF($C54:$C$82,$C54),1))),"")</f>
        <v/>
      </c>
      <c r="I54" s="110" t="str">
        <f ca="1">IF($G54=1,IF(SUMPRODUCT(MAX(($C$13:$C$82=$C54)*($K$13:$K$82)))=COUNTIF($C54:$C$82,C54)-COUNTBLANK(OFFSET($AF54,0,0,COUNTIF($C54:$C$82,$C54),1)),IF(MAX(OFFSET($AF54,0,0,COUNTIF($C54:$C$82,$C54),1))=0,"",MAX(OFFSET($AF54,0,0,COUNTIF($C54:$C$82,$C54),1))),""),"")</f>
        <v/>
      </c>
      <c r="J54" s="111" t="str">
        <f>IF(C54=0,"",IF(C53=C54,SUMPRODUCT(MAX(($C$11:$C53=C54)*($J$11:$J53))+1),1))</f>
        <v/>
      </c>
      <c r="K54" s="108">
        <f>IF(C54=0,0,IF(AND(OR(N54="入力・確認",N54="確認"),O54&lt;&gt;"不要"),IF(C53=C54,SUMPRODUCT(MAX(($C$12:$C53=C54)*($K$12:$K53))+1),1),0))</f>
        <v>0</v>
      </c>
      <c r="L54" s="176"/>
      <c r="M54" s="125"/>
      <c r="N54" s="126"/>
      <c r="O54" s="127"/>
      <c r="P54" s="128"/>
      <c r="Q54" s="129">
        <f t="shared" si="1"/>
        <v>0</v>
      </c>
      <c r="R54" s="130"/>
      <c r="S54" s="124"/>
      <c r="T54" s="131"/>
      <c r="U54" s="124"/>
      <c r="V54" s="124"/>
      <c r="W54" s="130"/>
      <c r="X54" s="131"/>
      <c r="Y54" s="132"/>
      <c r="Z54" s="132"/>
      <c r="AA54" s="133"/>
      <c r="AB54" s="134"/>
      <c r="AC54" s="135"/>
      <c r="AD54" s="134"/>
      <c r="AE54" s="134"/>
      <c r="AF54" s="136" t="str">
        <f t="shared" si="4"/>
        <v/>
      </c>
      <c r="AG54" s="131"/>
      <c r="AH54" s="137"/>
      <c r="AI54" s="138"/>
      <c r="AJ54" s="133"/>
      <c r="AK54" s="134"/>
      <c r="AL54" s="135"/>
      <c r="AM54" s="134"/>
      <c r="AN54" s="134"/>
      <c r="AO54" s="136" t="str">
        <f t="shared" si="2"/>
        <v/>
      </c>
      <c r="AP54" s="131"/>
      <c r="AQ54" s="137"/>
      <c r="AR54" s="138"/>
      <c r="AS54" s="36"/>
    </row>
    <row r="55" spans="1:45" s="38" customFormat="1" ht="16">
      <c r="A55" s="46"/>
      <c r="B55" s="123" t="str">
        <f>IF(AND(C55&lt;&gt;"",C54&lt;&gt;C55),MAX($B$13:B54)+1,"")</f>
        <v/>
      </c>
      <c r="C55" s="106"/>
      <c r="D55" s="125"/>
      <c r="E55" s="125"/>
      <c r="F55" s="124"/>
      <c r="G55" s="108" t="str">
        <f t="shared" si="3"/>
        <v/>
      </c>
      <c r="H55" s="109" t="str">
        <f ca="1">IF($G55=1,IF(MIN(OFFSET($AA55,0,0,COUNTIF($C55:$C$82,$C55),1))=0,"",MIN(OFFSET($AA55,0,0,COUNTIF($C55:$C$82,$C55),1))),"")</f>
        <v/>
      </c>
      <c r="I55" s="110" t="str">
        <f ca="1">IF($G55=1,IF(SUMPRODUCT(MAX(($C$13:$C$82=$C55)*($K$13:$K$82)))=COUNTIF($C55:$C$82,C55)-COUNTBLANK(OFFSET($AF55,0,0,COUNTIF($C55:$C$82,$C55),1)),IF(MAX(OFFSET($AF55,0,0,COUNTIF($C55:$C$82,$C55),1))=0,"",MAX(OFFSET($AF55,0,0,COUNTIF($C55:$C$82,$C55),1))),""),"")</f>
        <v/>
      </c>
      <c r="J55" s="111" t="str">
        <f>IF(C55=0,"",IF(C54=C55,SUMPRODUCT(MAX(($C$11:$C54=C55)*($J$11:$J54))+1),1))</f>
        <v/>
      </c>
      <c r="K55" s="108">
        <f>IF(C55=0,0,IF(AND(OR(N55="入力・確認",N55="確認"),O55&lt;&gt;"不要"),IF(C54=C55,SUMPRODUCT(MAX(($C$12:$C54=C55)*($K$12:$K54))+1),1),0))</f>
        <v>0</v>
      </c>
      <c r="L55" s="176"/>
      <c r="M55" s="125"/>
      <c r="N55" s="126"/>
      <c r="O55" s="127"/>
      <c r="P55" s="128"/>
      <c r="Q55" s="129">
        <f t="shared" si="1"/>
        <v>0</v>
      </c>
      <c r="R55" s="130"/>
      <c r="S55" s="124"/>
      <c r="T55" s="131"/>
      <c r="U55" s="124"/>
      <c r="V55" s="124"/>
      <c r="W55" s="130"/>
      <c r="X55" s="131"/>
      <c r="Y55" s="132"/>
      <c r="Z55" s="132"/>
      <c r="AA55" s="133"/>
      <c r="AB55" s="134"/>
      <c r="AC55" s="135"/>
      <c r="AD55" s="134"/>
      <c r="AE55" s="134"/>
      <c r="AF55" s="136" t="str">
        <f t="shared" si="4"/>
        <v/>
      </c>
      <c r="AG55" s="131"/>
      <c r="AH55" s="137"/>
      <c r="AI55" s="138"/>
      <c r="AJ55" s="133"/>
      <c r="AK55" s="134"/>
      <c r="AL55" s="135"/>
      <c r="AM55" s="134"/>
      <c r="AN55" s="134"/>
      <c r="AO55" s="136" t="str">
        <f t="shared" si="2"/>
        <v/>
      </c>
      <c r="AP55" s="131"/>
      <c r="AQ55" s="137"/>
      <c r="AR55" s="138"/>
      <c r="AS55" s="36"/>
    </row>
    <row r="56" spans="1:45" s="38" customFormat="1" ht="16">
      <c r="A56" s="46"/>
      <c r="B56" s="123" t="str">
        <f>IF(AND(C56&lt;&gt;"",C55&lt;&gt;C56),MAX($B$13:B55)+1,"")</f>
        <v/>
      </c>
      <c r="C56" s="106"/>
      <c r="D56" s="125"/>
      <c r="E56" s="125"/>
      <c r="F56" s="124"/>
      <c r="G56" s="108" t="str">
        <f t="shared" si="3"/>
        <v/>
      </c>
      <c r="H56" s="109" t="str">
        <f ca="1">IF($G56=1,IF(MIN(OFFSET($AA56,0,0,COUNTIF($C56:$C$82,$C56),1))=0,"",MIN(OFFSET($AA56,0,0,COUNTIF($C56:$C$82,$C56),1))),"")</f>
        <v/>
      </c>
      <c r="I56" s="110" t="str">
        <f ca="1">IF($G56=1,IF(SUMPRODUCT(MAX(($C$13:$C$82=$C56)*($K$13:$K$82)))=COUNTIF($C56:$C$82,C56)-COUNTBLANK(OFFSET($AF56,0,0,COUNTIF($C56:$C$82,$C56),1)),IF(MAX(OFFSET($AF56,0,0,COUNTIF($C56:$C$82,$C56),1))=0,"",MAX(OFFSET($AF56,0,0,COUNTIF($C56:$C$82,$C56),1))),""),"")</f>
        <v/>
      </c>
      <c r="J56" s="111" t="str">
        <f>IF(C56=0,"",IF(C55=C56,SUMPRODUCT(MAX(($C$11:$C55=C56)*($J$11:$J55))+1),1))</f>
        <v/>
      </c>
      <c r="K56" s="108">
        <f>IF(C56=0,0,IF(AND(OR(N56="入力・確認",N56="確認"),O56&lt;&gt;"不要"),IF(C55=C56,SUMPRODUCT(MAX(($C$12:$C55=C56)*($K$12:$K55))+1),1),0))</f>
        <v>0</v>
      </c>
      <c r="L56" s="176"/>
      <c r="M56" s="125"/>
      <c r="N56" s="126"/>
      <c r="O56" s="127"/>
      <c r="P56" s="128"/>
      <c r="Q56" s="129">
        <f t="shared" si="1"/>
        <v>0</v>
      </c>
      <c r="R56" s="130"/>
      <c r="S56" s="124"/>
      <c r="T56" s="131"/>
      <c r="U56" s="124"/>
      <c r="V56" s="124"/>
      <c r="W56" s="130"/>
      <c r="X56" s="131"/>
      <c r="Y56" s="132"/>
      <c r="Z56" s="132"/>
      <c r="AA56" s="133"/>
      <c r="AB56" s="134"/>
      <c r="AC56" s="135"/>
      <c r="AD56" s="134"/>
      <c r="AE56" s="134"/>
      <c r="AF56" s="136" t="str">
        <f t="shared" si="4"/>
        <v/>
      </c>
      <c r="AG56" s="131"/>
      <c r="AH56" s="137"/>
      <c r="AI56" s="138"/>
      <c r="AJ56" s="133"/>
      <c r="AK56" s="134"/>
      <c r="AL56" s="135"/>
      <c r="AM56" s="134"/>
      <c r="AN56" s="134"/>
      <c r="AO56" s="136" t="str">
        <f t="shared" si="2"/>
        <v/>
      </c>
      <c r="AP56" s="131"/>
      <c r="AQ56" s="137"/>
      <c r="AR56" s="138"/>
      <c r="AS56" s="36"/>
    </row>
    <row r="57" spans="1:45" s="38" customFormat="1" ht="16">
      <c r="A57" s="46"/>
      <c r="B57" s="123" t="str">
        <f>IF(AND(C57&lt;&gt;"",C56&lt;&gt;C57),MAX($B$13:B56)+1,"")</f>
        <v/>
      </c>
      <c r="C57" s="106"/>
      <c r="D57" s="125"/>
      <c r="E57" s="125"/>
      <c r="F57" s="124"/>
      <c r="G57" s="108" t="str">
        <f t="shared" si="3"/>
        <v/>
      </c>
      <c r="H57" s="109" t="str">
        <f ca="1">IF($G57=1,IF(MIN(OFFSET($AA57,0,0,COUNTIF($C57:$C$82,$C57),1))=0,"",MIN(OFFSET($AA57,0,0,COUNTIF($C57:$C$82,$C57),1))),"")</f>
        <v/>
      </c>
      <c r="I57" s="110" t="str">
        <f ca="1">IF($G57=1,IF(SUMPRODUCT(MAX(($C$13:$C$82=$C57)*($K$13:$K$82)))=COUNTIF($C57:$C$82,C57)-COUNTBLANK(OFFSET($AF57,0,0,COUNTIF($C57:$C$82,$C57),1)),IF(MAX(OFFSET($AF57,0,0,COUNTIF($C57:$C$82,$C57),1))=0,"",MAX(OFFSET($AF57,0,0,COUNTIF($C57:$C$82,$C57),1))),""),"")</f>
        <v/>
      </c>
      <c r="J57" s="111" t="str">
        <f>IF(C57=0,"",IF(C56=C57,SUMPRODUCT(MAX(($C$11:$C56=C57)*($J$11:$J56))+1),1))</f>
        <v/>
      </c>
      <c r="K57" s="108">
        <f>IF(C57=0,0,IF(AND(OR(N57="入力・確認",N57="確認"),O57&lt;&gt;"不要"),IF(C56=C57,SUMPRODUCT(MAX(($C$12:$C56=C57)*($K$12:$K56))+1),1),0))</f>
        <v>0</v>
      </c>
      <c r="L57" s="176"/>
      <c r="M57" s="125"/>
      <c r="N57" s="126"/>
      <c r="O57" s="127"/>
      <c r="P57" s="128"/>
      <c r="Q57" s="129">
        <f t="shared" si="1"/>
        <v>0</v>
      </c>
      <c r="R57" s="130"/>
      <c r="S57" s="124"/>
      <c r="T57" s="131"/>
      <c r="U57" s="124"/>
      <c r="V57" s="124"/>
      <c r="W57" s="130"/>
      <c r="X57" s="131"/>
      <c r="Y57" s="132"/>
      <c r="Z57" s="132"/>
      <c r="AA57" s="133"/>
      <c r="AB57" s="134"/>
      <c r="AC57" s="135"/>
      <c r="AD57" s="134"/>
      <c r="AE57" s="134"/>
      <c r="AF57" s="136" t="str">
        <f t="shared" si="4"/>
        <v/>
      </c>
      <c r="AG57" s="131"/>
      <c r="AH57" s="137"/>
      <c r="AI57" s="138"/>
      <c r="AJ57" s="133"/>
      <c r="AK57" s="134"/>
      <c r="AL57" s="135"/>
      <c r="AM57" s="134"/>
      <c r="AN57" s="134"/>
      <c r="AO57" s="136" t="str">
        <f t="shared" si="2"/>
        <v/>
      </c>
      <c r="AP57" s="131"/>
      <c r="AQ57" s="137"/>
      <c r="AR57" s="138"/>
      <c r="AS57" s="36"/>
    </row>
    <row r="58" spans="1:45" s="38" customFormat="1" ht="16">
      <c r="A58" s="46"/>
      <c r="B58" s="123" t="str">
        <f>IF(AND(C58&lt;&gt;"",C57&lt;&gt;C58),MAX($B$13:B57)+1,"")</f>
        <v/>
      </c>
      <c r="C58" s="106"/>
      <c r="D58" s="125"/>
      <c r="E58" s="125"/>
      <c r="F58" s="124"/>
      <c r="G58" s="108" t="str">
        <f t="shared" si="3"/>
        <v/>
      </c>
      <c r="H58" s="109" t="str">
        <f ca="1">IF($G58=1,IF(MIN(OFFSET($AA58,0,0,COUNTIF($C58:$C$82,$C58),1))=0,"",MIN(OFFSET($AA58,0,0,COUNTIF($C58:$C$82,$C58),1))),"")</f>
        <v/>
      </c>
      <c r="I58" s="110" t="str">
        <f ca="1">IF($G58=1,IF(SUMPRODUCT(MAX(($C$13:$C$82=$C58)*($K$13:$K$82)))=COUNTIF($C58:$C$82,C58)-COUNTBLANK(OFFSET($AF58,0,0,COUNTIF($C58:$C$82,$C58),1)),IF(MAX(OFFSET($AF58,0,0,COUNTIF($C58:$C$82,$C58),1))=0,"",MAX(OFFSET($AF58,0,0,COUNTIF($C58:$C$82,$C58),1))),""),"")</f>
        <v/>
      </c>
      <c r="J58" s="111" t="str">
        <f>IF(C58=0,"",IF(C57=C58,SUMPRODUCT(MAX(($C$11:$C57=C58)*($J$11:$J57))+1),1))</f>
        <v/>
      </c>
      <c r="K58" s="108">
        <f>IF(C58=0,0,IF(AND(OR(N58="入力・確認",N58="確認"),O58&lt;&gt;"不要"),IF(C57=C58,SUMPRODUCT(MAX(($C$12:$C57=C58)*($K$12:$K57))+1),1),0))</f>
        <v>0</v>
      </c>
      <c r="L58" s="176"/>
      <c r="M58" s="125"/>
      <c r="N58" s="126"/>
      <c r="O58" s="127"/>
      <c r="P58" s="128"/>
      <c r="Q58" s="129">
        <f t="shared" si="1"/>
        <v>0</v>
      </c>
      <c r="R58" s="130"/>
      <c r="S58" s="124"/>
      <c r="T58" s="131"/>
      <c r="U58" s="124"/>
      <c r="V58" s="124"/>
      <c r="W58" s="130"/>
      <c r="X58" s="131"/>
      <c r="Y58" s="132"/>
      <c r="Z58" s="132"/>
      <c r="AA58" s="133"/>
      <c r="AB58" s="134"/>
      <c r="AC58" s="135"/>
      <c r="AD58" s="134"/>
      <c r="AE58" s="134"/>
      <c r="AF58" s="136" t="str">
        <f t="shared" si="4"/>
        <v/>
      </c>
      <c r="AG58" s="131"/>
      <c r="AH58" s="137"/>
      <c r="AI58" s="138"/>
      <c r="AJ58" s="133"/>
      <c r="AK58" s="134"/>
      <c r="AL58" s="135"/>
      <c r="AM58" s="134"/>
      <c r="AN58" s="134"/>
      <c r="AO58" s="136" t="str">
        <f t="shared" si="2"/>
        <v/>
      </c>
      <c r="AP58" s="131"/>
      <c r="AQ58" s="137"/>
      <c r="AR58" s="138"/>
      <c r="AS58" s="36"/>
    </row>
    <row r="59" spans="1:45" s="38" customFormat="1" ht="16">
      <c r="A59" s="46"/>
      <c r="B59" s="123" t="str">
        <f>IF(AND(C59&lt;&gt;"",C58&lt;&gt;C59),MAX($B$13:B58)+1,"")</f>
        <v/>
      </c>
      <c r="C59" s="106"/>
      <c r="D59" s="125"/>
      <c r="E59" s="125"/>
      <c r="F59" s="124"/>
      <c r="G59" s="108" t="str">
        <f t="shared" si="3"/>
        <v/>
      </c>
      <c r="H59" s="109" t="str">
        <f ca="1">IF($G59=1,IF(MIN(OFFSET($AA59,0,0,COUNTIF($C59:$C$82,$C59),1))=0,"",MIN(OFFSET($AA59,0,0,COUNTIF($C59:$C$82,$C59),1))),"")</f>
        <v/>
      </c>
      <c r="I59" s="110" t="str">
        <f ca="1">IF($G59=1,IF(SUMPRODUCT(MAX(($C$13:$C$82=$C59)*($K$13:$K$82)))=COUNTIF($C59:$C$82,C59)-COUNTBLANK(OFFSET($AF59,0,0,COUNTIF($C59:$C$82,$C59),1)),IF(MAX(OFFSET($AF59,0,0,COUNTIF($C59:$C$82,$C59),1))=0,"",MAX(OFFSET($AF59,0,0,COUNTIF($C59:$C$82,$C59),1))),""),"")</f>
        <v/>
      </c>
      <c r="J59" s="111" t="str">
        <f>IF(C59=0,"",IF(C58=C59,SUMPRODUCT(MAX(($C$11:$C58=C59)*($J$11:$J58))+1),1))</f>
        <v/>
      </c>
      <c r="K59" s="108">
        <f>IF(C59=0,0,IF(AND(OR(N59="入力・確認",N59="確認"),O59&lt;&gt;"不要"),IF(C58=C59,SUMPRODUCT(MAX(($C$12:$C58=C59)*($K$12:$K58))+1),1),0))</f>
        <v>0</v>
      </c>
      <c r="L59" s="176"/>
      <c r="M59" s="125"/>
      <c r="N59" s="126"/>
      <c r="O59" s="127"/>
      <c r="P59" s="128"/>
      <c r="Q59" s="129">
        <f t="shared" si="1"/>
        <v>0</v>
      </c>
      <c r="R59" s="130"/>
      <c r="S59" s="124"/>
      <c r="T59" s="131"/>
      <c r="U59" s="124"/>
      <c r="V59" s="124"/>
      <c r="W59" s="130"/>
      <c r="X59" s="131"/>
      <c r="Y59" s="132"/>
      <c r="Z59" s="132"/>
      <c r="AA59" s="133"/>
      <c r="AB59" s="134"/>
      <c r="AC59" s="135"/>
      <c r="AD59" s="134"/>
      <c r="AE59" s="134"/>
      <c r="AF59" s="136" t="str">
        <f t="shared" si="4"/>
        <v/>
      </c>
      <c r="AG59" s="131"/>
      <c r="AH59" s="137"/>
      <c r="AI59" s="138"/>
      <c r="AJ59" s="133"/>
      <c r="AK59" s="134"/>
      <c r="AL59" s="135"/>
      <c r="AM59" s="134"/>
      <c r="AN59" s="134"/>
      <c r="AO59" s="136" t="str">
        <f t="shared" si="2"/>
        <v/>
      </c>
      <c r="AP59" s="131"/>
      <c r="AQ59" s="137"/>
      <c r="AR59" s="138"/>
      <c r="AS59" s="36"/>
    </row>
    <row r="60" spans="1:45" s="38" customFormat="1" ht="16">
      <c r="A60" s="46"/>
      <c r="B60" s="123" t="str">
        <f>IF(AND(C60&lt;&gt;"",C59&lt;&gt;C60),MAX($B$13:B59)+1,"")</f>
        <v/>
      </c>
      <c r="C60" s="106"/>
      <c r="D60" s="125"/>
      <c r="E60" s="125"/>
      <c r="F60" s="124"/>
      <c r="G60" s="108" t="str">
        <f t="shared" si="3"/>
        <v/>
      </c>
      <c r="H60" s="109" t="str">
        <f ca="1">IF($G60=1,IF(MIN(OFFSET($AA60,0,0,COUNTIF($C60:$C$82,$C60),1))=0,"",MIN(OFFSET($AA60,0,0,COUNTIF($C60:$C$82,$C60),1))),"")</f>
        <v/>
      </c>
      <c r="I60" s="110" t="str">
        <f ca="1">IF($G60=1,IF(SUMPRODUCT(MAX(($C$13:$C$82=$C60)*($K$13:$K$82)))=COUNTIF($C60:$C$82,C60)-COUNTBLANK(OFFSET($AF60,0,0,COUNTIF($C60:$C$82,$C60),1)),IF(MAX(OFFSET($AF60,0,0,COUNTIF($C60:$C$82,$C60),1))=0,"",MAX(OFFSET($AF60,0,0,COUNTIF($C60:$C$82,$C60),1))),""),"")</f>
        <v/>
      </c>
      <c r="J60" s="111" t="str">
        <f>IF(C60=0,"",IF(C59=C60,SUMPRODUCT(MAX(($C$11:$C59=C60)*($J$11:$J59))+1),1))</f>
        <v/>
      </c>
      <c r="K60" s="108">
        <f>IF(C60=0,0,IF(AND(OR(N60="入力・確認",N60="確認"),O60&lt;&gt;"不要"),IF(C59=C60,SUMPRODUCT(MAX(($C$12:$C59=C60)*($K$12:$K59))+1),1),0))</f>
        <v>0</v>
      </c>
      <c r="L60" s="176"/>
      <c r="M60" s="125"/>
      <c r="N60" s="126"/>
      <c r="O60" s="127"/>
      <c r="P60" s="128"/>
      <c r="Q60" s="129">
        <f t="shared" si="1"/>
        <v>0</v>
      </c>
      <c r="R60" s="130"/>
      <c r="S60" s="124"/>
      <c r="T60" s="131"/>
      <c r="U60" s="124"/>
      <c r="V60" s="124"/>
      <c r="W60" s="130"/>
      <c r="X60" s="131"/>
      <c r="Y60" s="132"/>
      <c r="Z60" s="132"/>
      <c r="AA60" s="133"/>
      <c r="AB60" s="134"/>
      <c r="AC60" s="135"/>
      <c r="AD60" s="134"/>
      <c r="AE60" s="134"/>
      <c r="AF60" s="136" t="str">
        <f t="shared" si="4"/>
        <v/>
      </c>
      <c r="AG60" s="131"/>
      <c r="AH60" s="137"/>
      <c r="AI60" s="138"/>
      <c r="AJ60" s="133"/>
      <c r="AK60" s="134"/>
      <c r="AL60" s="135"/>
      <c r="AM60" s="134"/>
      <c r="AN60" s="134"/>
      <c r="AO60" s="136" t="str">
        <f t="shared" si="2"/>
        <v/>
      </c>
      <c r="AP60" s="131"/>
      <c r="AQ60" s="137"/>
      <c r="AR60" s="138"/>
      <c r="AS60" s="36"/>
    </row>
    <row r="61" spans="1:45" s="38" customFormat="1" ht="16">
      <c r="A61" s="46"/>
      <c r="B61" s="123" t="str">
        <f>IF(AND(C61&lt;&gt;"",C60&lt;&gt;C61),MAX($B$13:B60)+1,"")</f>
        <v/>
      </c>
      <c r="C61" s="106"/>
      <c r="D61" s="125"/>
      <c r="E61" s="125"/>
      <c r="F61" s="124"/>
      <c r="G61" s="108" t="str">
        <f t="shared" si="3"/>
        <v/>
      </c>
      <c r="H61" s="109" t="str">
        <f ca="1">IF($G61=1,IF(MIN(OFFSET($AA61,0,0,COUNTIF($C61:$C$82,$C61),1))=0,"",MIN(OFFSET($AA61,0,0,COUNTIF($C61:$C$82,$C61),1))),"")</f>
        <v/>
      </c>
      <c r="I61" s="110" t="str">
        <f ca="1">IF($G61=1,IF(SUMPRODUCT(MAX(($C$13:$C$82=$C61)*($K$13:$K$82)))=COUNTIF($C61:$C$82,C61)-COUNTBLANK(OFFSET($AF61,0,0,COUNTIF($C61:$C$82,$C61),1)),IF(MAX(OFFSET($AF61,0,0,COUNTIF($C61:$C$82,$C61),1))=0,"",MAX(OFFSET($AF61,0,0,COUNTIF($C61:$C$82,$C61),1))),""),"")</f>
        <v/>
      </c>
      <c r="J61" s="111" t="str">
        <f>IF(C61=0,"",IF(C60=C61,SUMPRODUCT(MAX(($C$11:$C60=C61)*($J$11:$J60))+1),1))</f>
        <v/>
      </c>
      <c r="K61" s="108">
        <f>IF(C61=0,0,IF(AND(OR(N61="入力・確認",N61="確認"),O61&lt;&gt;"不要"),IF(C60=C61,SUMPRODUCT(MAX(($C$12:$C60=C61)*($K$12:$K60))+1),1),0))</f>
        <v>0</v>
      </c>
      <c r="L61" s="176"/>
      <c r="M61" s="125"/>
      <c r="N61" s="126"/>
      <c r="O61" s="127"/>
      <c r="P61" s="128"/>
      <c r="Q61" s="129">
        <f t="shared" si="1"/>
        <v>0</v>
      </c>
      <c r="R61" s="130"/>
      <c r="S61" s="124"/>
      <c r="T61" s="131"/>
      <c r="U61" s="124"/>
      <c r="V61" s="124"/>
      <c r="W61" s="130"/>
      <c r="X61" s="131"/>
      <c r="Y61" s="132"/>
      <c r="Z61" s="132"/>
      <c r="AA61" s="133"/>
      <c r="AB61" s="134"/>
      <c r="AC61" s="135"/>
      <c r="AD61" s="134"/>
      <c r="AE61" s="134"/>
      <c r="AF61" s="136" t="str">
        <f t="shared" si="4"/>
        <v/>
      </c>
      <c r="AG61" s="131"/>
      <c r="AH61" s="137"/>
      <c r="AI61" s="138"/>
      <c r="AJ61" s="133"/>
      <c r="AK61" s="134"/>
      <c r="AL61" s="135"/>
      <c r="AM61" s="134"/>
      <c r="AN61" s="134"/>
      <c r="AO61" s="136" t="str">
        <f t="shared" si="2"/>
        <v/>
      </c>
      <c r="AP61" s="131"/>
      <c r="AQ61" s="137"/>
      <c r="AR61" s="138"/>
      <c r="AS61" s="36"/>
    </row>
    <row r="62" spans="1:45" s="38" customFormat="1" ht="16">
      <c r="A62" s="46"/>
      <c r="B62" s="123" t="str">
        <f>IF(AND(C62&lt;&gt;"",C61&lt;&gt;C62),MAX($B$13:B61)+1,"")</f>
        <v/>
      </c>
      <c r="C62" s="106"/>
      <c r="D62" s="125"/>
      <c r="E62" s="125"/>
      <c r="F62" s="124"/>
      <c r="G62" s="108" t="str">
        <f t="shared" si="3"/>
        <v/>
      </c>
      <c r="H62" s="109" t="str">
        <f ca="1">IF($G62=1,IF(MIN(OFFSET($AA62,0,0,COUNTIF($C62:$C$82,$C62),1))=0,"",MIN(OFFSET($AA62,0,0,COUNTIF($C62:$C$82,$C62),1))),"")</f>
        <v/>
      </c>
      <c r="I62" s="110" t="str">
        <f ca="1">IF($G62=1,IF(SUMPRODUCT(MAX(($C$13:$C$82=$C62)*($K$13:$K$82)))=COUNTIF($C62:$C$82,C62)-COUNTBLANK(OFFSET($AF62,0,0,COUNTIF($C62:$C$82,$C62),1)),IF(MAX(OFFSET($AF62,0,0,COUNTIF($C62:$C$82,$C62),1))=0,"",MAX(OFFSET($AF62,0,0,COUNTIF($C62:$C$82,$C62),1))),""),"")</f>
        <v/>
      </c>
      <c r="J62" s="111" t="str">
        <f>IF(C62=0,"",IF(C61=C62,SUMPRODUCT(MAX(($C$11:$C61=C62)*($J$11:$J61))+1),1))</f>
        <v/>
      </c>
      <c r="K62" s="108">
        <f>IF(C62=0,0,IF(AND(OR(N62="入力・確認",N62="確認"),O62&lt;&gt;"不要"),IF(C61=C62,SUMPRODUCT(MAX(($C$12:$C61=C62)*($K$12:$K61))+1),1),0))</f>
        <v>0</v>
      </c>
      <c r="L62" s="176"/>
      <c r="M62" s="125"/>
      <c r="N62" s="126"/>
      <c r="O62" s="127"/>
      <c r="P62" s="128"/>
      <c r="Q62" s="129">
        <f t="shared" si="1"/>
        <v>0</v>
      </c>
      <c r="R62" s="130"/>
      <c r="S62" s="124"/>
      <c r="T62" s="131"/>
      <c r="U62" s="124"/>
      <c r="V62" s="124"/>
      <c r="W62" s="130"/>
      <c r="X62" s="131"/>
      <c r="Y62" s="132"/>
      <c r="Z62" s="132"/>
      <c r="AA62" s="133"/>
      <c r="AB62" s="134"/>
      <c r="AC62" s="135"/>
      <c r="AD62" s="134"/>
      <c r="AE62" s="134"/>
      <c r="AF62" s="136" t="str">
        <f t="shared" si="4"/>
        <v/>
      </c>
      <c r="AG62" s="131"/>
      <c r="AH62" s="137"/>
      <c r="AI62" s="138"/>
      <c r="AJ62" s="133"/>
      <c r="AK62" s="134"/>
      <c r="AL62" s="135"/>
      <c r="AM62" s="134"/>
      <c r="AN62" s="134"/>
      <c r="AO62" s="136" t="str">
        <f t="shared" si="2"/>
        <v/>
      </c>
      <c r="AP62" s="131"/>
      <c r="AQ62" s="137"/>
      <c r="AR62" s="138"/>
      <c r="AS62" s="36"/>
    </row>
    <row r="63" spans="1:45" s="38" customFormat="1" ht="16">
      <c r="A63" s="46"/>
      <c r="B63" s="123" t="str">
        <f>IF(AND(C63&lt;&gt;"",C62&lt;&gt;C63),MAX($B$13:B62)+1,"")</f>
        <v/>
      </c>
      <c r="C63" s="106"/>
      <c r="D63" s="125"/>
      <c r="E63" s="125"/>
      <c r="F63" s="124"/>
      <c r="G63" s="108" t="str">
        <f t="shared" si="3"/>
        <v/>
      </c>
      <c r="H63" s="109" t="str">
        <f ca="1">IF($G63=1,IF(MIN(OFFSET($AA63,0,0,COUNTIF($C63:$C$82,$C63),1))=0,"",MIN(OFFSET($AA63,0,0,COUNTIF($C63:$C$82,$C63),1))),"")</f>
        <v/>
      </c>
      <c r="I63" s="110" t="str">
        <f ca="1">IF($G63=1,IF(SUMPRODUCT(MAX(($C$13:$C$82=$C63)*($K$13:$K$82)))=COUNTIF($C63:$C$82,C63)-COUNTBLANK(OFFSET($AF63,0,0,COUNTIF($C63:$C$82,$C63),1)),IF(MAX(OFFSET($AF63,0,0,COUNTIF($C63:$C$82,$C63),1))=0,"",MAX(OFFSET($AF63,0,0,COUNTIF($C63:$C$82,$C63),1))),""),"")</f>
        <v/>
      </c>
      <c r="J63" s="111" t="str">
        <f>IF(C63=0,"",IF(C62=C63,SUMPRODUCT(MAX(($C$11:$C62=C63)*($J$11:$J62))+1),1))</f>
        <v/>
      </c>
      <c r="K63" s="108">
        <f>IF(C63=0,0,IF(AND(OR(N63="入力・確認",N63="確認"),O63&lt;&gt;"不要"),IF(C62=C63,SUMPRODUCT(MAX(($C$12:$C62=C63)*($K$12:$K62))+1),1),0))</f>
        <v>0</v>
      </c>
      <c r="L63" s="176"/>
      <c r="M63" s="125"/>
      <c r="N63" s="126"/>
      <c r="O63" s="127"/>
      <c r="P63" s="128"/>
      <c r="Q63" s="129">
        <f t="shared" si="1"/>
        <v>0</v>
      </c>
      <c r="R63" s="130"/>
      <c r="S63" s="124"/>
      <c r="T63" s="131"/>
      <c r="U63" s="124"/>
      <c r="V63" s="124"/>
      <c r="W63" s="130"/>
      <c r="X63" s="131"/>
      <c r="Y63" s="132"/>
      <c r="Z63" s="132"/>
      <c r="AA63" s="133"/>
      <c r="AB63" s="134"/>
      <c r="AC63" s="135"/>
      <c r="AD63" s="134"/>
      <c r="AE63" s="134"/>
      <c r="AF63" s="136" t="str">
        <f t="shared" si="4"/>
        <v/>
      </c>
      <c r="AG63" s="131"/>
      <c r="AH63" s="137"/>
      <c r="AI63" s="138"/>
      <c r="AJ63" s="133"/>
      <c r="AK63" s="134"/>
      <c r="AL63" s="135"/>
      <c r="AM63" s="134"/>
      <c r="AN63" s="134"/>
      <c r="AO63" s="136" t="str">
        <f t="shared" si="2"/>
        <v/>
      </c>
      <c r="AP63" s="131"/>
      <c r="AQ63" s="137"/>
      <c r="AR63" s="138"/>
      <c r="AS63" s="36"/>
    </row>
    <row r="64" spans="1:45" s="38" customFormat="1" ht="16">
      <c r="A64" s="46"/>
      <c r="B64" s="123" t="str">
        <f>IF(AND(C64&lt;&gt;"",C63&lt;&gt;C64),MAX($B$13:B63)+1,"")</f>
        <v/>
      </c>
      <c r="C64" s="106"/>
      <c r="D64" s="125"/>
      <c r="E64" s="125"/>
      <c r="F64" s="124"/>
      <c r="G64" s="108" t="str">
        <f t="shared" si="3"/>
        <v/>
      </c>
      <c r="H64" s="109" t="str">
        <f ca="1">IF($G64=1,IF(MIN(OFFSET($AA64,0,0,COUNTIF($C64:$C$82,$C64),1))=0,"",MIN(OFFSET($AA64,0,0,COUNTIF($C64:$C$82,$C64),1))),"")</f>
        <v/>
      </c>
      <c r="I64" s="110" t="str">
        <f ca="1">IF($G64=1,IF(SUMPRODUCT(MAX(($C$13:$C$82=$C64)*($K$13:$K$82)))=COUNTIF($C64:$C$82,C64)-COUNTBLANK(OFFSET($AF64,0,0,COUNTIF($C64:$C$82,$C64),1)),IF(MAX(OFFSET($AF64,0,0,COUNTIF($C64:$C$82,$C64),1))=0,"",MAX(OFFSET($AF64,0,0,COUNTIF($C64:$C$82,$C64),1))),""),"")</f>
        <v/>
      </c>
      <c r="J64" s="111" t="str">
        <f>IF(C64=0,"",IF(C63=C64,SUMPRODUCT(MAX(($C$11:$C63=C64)*($J$11:$J63))+1),1))</f>
        <v/>
      </c>
      <c r="K64" s="108">
        <f>IF(C64=0,0,IF(AND(OR(N64="入力・確認",N64="確認"),O64&lt;&gt;"不要"),IF(C63=C64,SUMPRODUCT(MAX(($C$12:$C63=C64)*($K$12:$K63))+1),1),0))</f>
        <v>0</v>
      </c>
      <c r="L64" s="176"/>
      <c r="M64" s="125"/>
      <c r="N64" s="126"/>
      <c r="O64" s="127"/>
      <c r="P64" s="128"/>
      <c r="Q64" s="129">
        <f t="shared" si="1"/>
        <v>0</v>
      </c>
      <c r="R64" s="130"/>
      <c r="S64" s="124"/>
      <c r="T64" s="131"/>
      <c r="U64" s="124"/>
      <c r="V64" s="124"/>
      <c r="W64" s="130"/>
      <c r="X64" s="131"/>
      <c r="Y64" s="132"/>
      <c r="Z64" s="132"/>
      <c r="AA64" s="133"/>
      <c r="AB64" s="134"/>
      <c r="AC64" s="135"/>
      <c r="AD64" s="134"/>
      <c r="AE64" s="134"/>
      <c r="AF64" s="136" t="str">
        <f t="shared" si="4"/>
        <v/>
      </c>
      <c r="AG64" s="131"/>
      <c r="AH64" s="137"/>
      <c r="AI64" s="138"/>
      <c r="AJ64" s="133"/>
      <c r="AK64" s="134"/>
      <c r="AL64" s="135"/>
      <c r="AM64" s="134"/>
      <c r="AN64" s="134"/>
      <c r="AO64" s="136" t="str">
        <f t="shared" si="2"/>
        <v/>
      </c>
      <c r="AP64" s="131"/>
      <c r="AQ64" s="137"/>
      <c r="AR64" s="138"/>
      <c r="AS64" s="36"/>
    </row>
    <row r="65" spans="1:45" s="38" customFormat="1" ht="16">
      <c r="A65" s="46"/>
      <c r="B65" s="123" t="str">
        <f>IF(AND(C65&lt;&gt;"",C64&lt;&gt;C65),MAX($B$13:B64)+1,"")</f>
        <v/>
      </c>
      <c r="C65" s="106"/>
      <c r="D65" s="125"/>
      <c r="E65" s="125"/>
      <c r="F65" s="124"/>
      <c r="G65" s="108" t="str">
        <f t="shared" si="3"/>
        <v/>
      </c>
      <c r="H65" s="109" t="str">
        <f ca="1">IF($G65=1,IF(MIN(OFFSET($AA65,0,0,COUNTIF($C65:$C$82,$C65),1))=0,"",MIN(OFFSET($AA65,0,0,COUNTIF($C65:$C$82,$C65),1))),"")</f>
        <v/>
      </c>
      <c r="I65" s="110" t="str">
        <f ca="1">IF($G65=1,IF(SUMPRODUCT(MAX(($C$13:$C$82=$C65)*($K$13:$K$82)))=COUNTIF($C65:$C$82,C65)-COUNTBLANK(OFFSET($AF65,0,0,COUNTIF($C65:$C$82,$C65),1)),IF(MAX(OFFSET($AF65,0,0,COUNTIF($C65:$C$82,$C65),1))=0,"",MAX(OFFSET($AF65,0,0,COUNTIF($C65:$C$82,$C65),1))),""),"")</f>
        <v/>
      </c>
      <c r="J65" s="111" t="str">
        <f>IF(C65=0,"",IF(C64=C65,SUMPRODUCT(MAX(($C$11:$C64=C65)*($J$11:$J64))+1),1))</f>
        <v/>
      </c>
      <c r="K65" s="108">
        <f>IF(C65=0,0,IF(AND(OR(N65="入力・確認",N65="確認"),O65&lt;&gt;"不要"),IF(C64=C65,SUMPRODUCT(MAX(($C$12:$C64=C65)*($K$12:$K64))+1),1),0))</f>
        <v>0</v>
      </c>
      <c r="L65" s="176"/>
      <c r="M65" s="125"/>
      <c r="N65" s="126"/>
      <c r="O65" s="127"/>
      <c r="P65" s="128"/>
      <c r="Q65" s="129">
        <f t="shared" si="1"/>
        <v>0</v>
      </c>
      <c r="R65" s="130"/>
      <c r="S65" s="124"/>
      <c r="T65" s="131"/>
      <c r="U65" s="124"/>
      <c r="V65" s="124"/>
      <c r="W65" s="130"/>
      <c r="X65" s="131"/>
      <c r="Y65" s="132"/>
      <c r="Z65" s="132"/>
      <c r="AA65" s="133"/>
      <c r="AB65" s="134"/>
      <c r="AC65" s="135"/>
      <c r="AD65" s="134"/>
      <c r="AE65" s="134"/>
      <c r="AF65" s="136" t="str">
        <f t="shared" si="4"/>
        <v/>
      </c>
      <c r="AG65" s="131"/>
      <c r="AH65" s="137"/>
      <c r="AI65" s="138"/>
      <c r="AJ65" s="133"/>
      <c r="AK65" s="134"/>
      <c r="AL65" s="135"/>
      <c r="AM65" s="134"/>
      <c r="AN65" s="134"/>
      <c r="AO65" s="136" t="str">
        <f t="shared" si="2"/>
        <v/>
      </c>
      <c r="AP65" s="131"/>
      <c r="AQ65" s="137"/>
      <c r="AR65" s="138"/>
      <c r="AS65" s="36"/>
    </row>
    <row r="66" spans="1:45" s="38" customFormat="1" ht="16">
      <c r="A66" s="46"/>
      <c r="B66" s="123" t="str">
        <f>IF(AND(C66&lt;&gt;"",C65&lt;&gt;C66),MAX($B$13:B65)+1,"")</f>
        <v/>
      </c>
      <c r="C66" s="106"/>
      <c r="D66" s="125"/>
      <c r="E66" s="125"/>
      <c r="F66" s="124"/>
      <c r="G66" s="108" t="str">
        <f t="shared" si="3"/>
        <v/>
      </c>
      <c r="H66" s="109" t="str">
        <f ca="1">IF($G66=1,IF(MIN(OFFSET($AA66,0,0,COUNTIF($C66:$C$82,$C66),1))=0,"",MIN(OFFSET($AA66,0,0,COUNTIF($C66:$C$82,$C66),1))),"")</f>
        <v/>
      </c>
      <c r="I66" s="110" t="str">
        <f ca="1">IF($G66=1,IF(SUMPRODUCT(MAX(($C$13:$C$82=$C66)*($K$13:$K$82)))=COUNTIF($C66:$C$82,C66)-COUNTBLANK(OFFSET($AF66,0,0,COUNTIF($C66:$C$82,$C66),1)),IF(MAX(OFFSET($AF66,0,0,COUNTIF($C66:$C$82,$C66),1))=0,"",MAX(OFFSET($AF66,0,0,COUNTIF($C66:$C$82,$C66),1))),""),"")</f>
        <v/>
      </c>
      <c r="J66" s="111" t="str">
        <f>IF(C66=0,"",IF(C65=C66,SUMPRODUCT(MAX(($C$11:$C65=C66)*($J$11:$J65))+1),1))</f>
        <v/>
      </c>
      <c r="K66" s="108">
        <f>IF(C66=0,0,IF(AND(OR(N66="入力・確認",N66="確認"),O66&lt;&gt;"不要"),IF(C65=C66,SUMPRODUCT(MAX(($C$12:$C65=C66)*($K$12:$K65))+1),1),0))</f>
        <v>0</v>
      </c>
      <c r="L66" s="176"/>
      <c r="M66" s="125"/>
      <c r="N66" s="126"/>
      <c r="O66" s="127"/>
      <c r="P66" s="128"/>
      <c r="Q66" s="129">
        <f t="shared" si="1"/>
        <v>0</v>
      </c>
      <c r="R66" s="130"/>
      <c r="S66" s="124"/>
      <c r="T66" s="131"/>
      <c r="U66" s="124"/>
      <c r="V66" s="124"/>
      <c r="W66" s="130"/>
      <c r="X66" s="131"/>
      <c r="Y66" s="132"/>
      <c r="Z66" s="132"/>
      <c r="AA66" s="133"/>
      <c r="AB66" s="134"/>
      <c r="AC66" s="135"/>
      <c r="AD66" s="134"/>
      <c r="AE66" s="134"/>
      <c r="AF66" s="136" t="str">
        <f t="shared" si="4"/>
        <v/>
      </c>
      <c r="AG66" s="131"/>
      <c r="AH66" s="137"/>
      <c r="AI66" s="138"/>
      <c r="AJ66" s="133"/>
      <c r="AK66" s="134"/>
      <c r="AL66" s="135"/>
      <c r="AM66" s="134"/>
      <c r="AN66" s="134"/>
      <c r="AO66" s="136" t="str">
        <f t="shared" si="2"/>
        <v/>
      </c>
      <c r="AP66" s="131"/>
      <c r="AQ66" s="137"/>
      <c r="AR66" s="138"/>
      <c r="AS66" s="36"/>
    </row>
    <row r="67" spans="1:45" s="38" customFormat="1" ht="16">
      <c r="A67" s="46"/>
      <c r="B67" s="123" t="str">
        <f>IF(AND(C67&lt;&gt;"",C66&lt;&gt;C67),MAX($B$13:B66)+1,"")</f>
        <v/>
      </c>
      <c r="C67" s="106"/>
      <c r="D67" s="125"/>
      <c r="E67" s="125"/>
      <c r="F67" s="124"/>
      <c r="G67" s="108" t="str">
        <f t="shared" si="3"/>
        <v/>
      </c>
      <c r="H67" s="109" t="str">
        <f ca="1">IF($G67=1,IF(MIN(OFFSET($AA67,0,0,COUNTIF($C67:$C$82,$C67),1))=0,"",MIN(OFFSET($AA67,0,0,COUNTIF($C67:$C$82,$C67),1))),"")</f>
        <v/>
      </c>
      <c r="I67" s="110" t="str">
        <f ca="1">IF($G67=1,IF(SUMPRODUCT(MAX(($C$13:$C$82=$C67)*($K$13:$K$82)))=COUNTIF($C67:$C$82,C67)-COUNTBLANK(OFFSET($AF67,0,0,COUNTIF($C67:$C$82,$C67),1)),IF(MAX(OFFSET($AF67,0,0,COUNTIF($C67:$C$82,$C67),1))=0,"",MAX(OFFSET($AF67,0,0,COUNTIF($C67:$C$82,$C67),1))),""),"")</f>
        <v/>
      </c>
      <c r="J67" s="111" t="str">
        <f>IF(C67=0,"",IF(C66=C67,SUMPRODUCT(MAX(($C$11:$C66=C67)*($J$11:$J66))+1),1))</f>
        <v/>
      </c>
      <c r="K67" s="108">
        <f>IF(C67=0,0,IF(AND(OR(N67="入力・確認",N67="確認"),O67&lt;&gt;"不要"),IF(C66=C67,SUMPRODUCT(MAX(($C$12:$C66=C67)*($K$12:$K66))+1),1),0))</f>
        <v>0</v>
      </c>
      <c r="L67" s="176"/>
      <c r="M67" s="125"/>
      <c r="N67" s="126"/>
      <c r="O67" s="127"/>
      <c r="P67" s="128"/>
      <c r="Q67" s="129">
        <f t="shared" si="1"/>
        <v>0</v>
      </c>
      <c r="R67" s="130"/>
      <c r="S67" s="124"/>
      <c r="T67" s="131"/>
      <c r="U67" s="124"/>
      <c r="V67" s="124"/>
      <c r="W67" s="130"/>
      <c r="X67" s="131"/>
      <c r="Y67" s="132"/>
      <c r="Z67" s="132"/>
      <c r="AA67" s="133"/>
      <c r="AB67" s="134"/>
      <c r="AC67" s="135"/>
      <c r="AD67" s="134"/>
      <c r="AE67" s="134"/>
      <c r="AF67" s="136" t="str">
        <f t="shared" si="4"/>
        <v/>
      </c>
      <c r="AG67" s="131"/>
      <c r="AH67" s="137"/>
      <c r="AI67" s="138"/>
      <c r="AJ67" s="133"/>
      <c r="AK67" s="134"/>
      <c r="AL67" s="135"/>
      <c r="AM67" s="134"/>
      <c r="AN67" s="134"/>
      <c r="AO67" s="136" t="str">
        <f t="shared" si="2"/>
        <v/>
      </c>
      <c r="AP67" s="131"/>
      <c r="AQ67" s="137"/>
      <c r="AR67" s="138"/>
      <c r="AS67" s="36"/>
    </row>
    <row r="68" spans="1:45" s="38" customFormat="1" ht="16">
      <c r="A68" s="46"/>
      <c r="B68" s="123" t="str">
        <f>IF(AND(C68&lt;&gt;"",C67&lt;&gt;C68),MAX($B$13:B67)+1,"")</f>
        <v/>
      </c>
      <c r="C68" s="106"/>
      <c r="D68" s="125"/>
      <c r="E68" s="125"/>
      <c r="F68" s="124"/>
      <c r="G68" s="108" t="str">
        <f t="shared" si="3"/>
        <v/>
      </c>
      <c r="H68" s="109" t="str">
        <f ca="1">IF($G68=1,IF(MIN(OFFSET($AA68,0,0,COUNTIF($C68:$C$82,$C68),1))=0,"",MIN(OFFSET($AA68,0,0,COUNTIF($C68:$C$82,$C68),1))),"")</f>
        <v/>
      </c>
      <c r="I68" s="110" t="str">
        <f ca="1">IF($G68=1,IF(SUMPRODUCT(MAX(($C$13:$C$82=$C68)*($K$13:$K$82)))=COUNTIF($C68:$C$82,C68)-COUNTBLANK(OFFSET($AF68,0,0,COUNTIF($C68:$C$82,$C68),1)),IF(MAX(OFFSET($AF68,0,0,COUNTIF($C68:$C$82,$C68),1))=0,"",MAX(OFFSET($AF68,0,0,COUNTIF($C68:$C$82,$C68),1))),""),"")</f>
        <v/>
      </c>
      <c r="J68" s="111" t="str">
        <f>IF(C68=0,"",IF(C67=C68,SUMPRODUCT(MAX(($C$11:$C67=C68)*($J$11:$J67))+1),1))</f>
        <v/>
      </c>
      <c r="K68" s="108">
        <f>IF(C68=0,0,IF(AND(OR(N68="入力・確認",N68="確認"),O68&lt;&gt;"不要"),IF(C67=C68,SUMPRODUCT(MAX(($C$12:$C67=C68)*($K$12:$K67))+1),1),0))</f>
        <v>0</v>
      </c>
      <c r="L68" s="176"/>
      <c r="M68" s="125"/>
      <c r="N68" s="126"/>
      <c r="O68" s="127"/>
      <c r="P68" s="128"/>
      <c r="Q68" s="129">
        <f t="shared" si="1"/>
        <v>0</v>
      </c>
      <c r="R68" s="130"/>
      <c r="S68" s="124"/>
      <c r="T68" s="131"/>
      <c r="U68" s="124"/>
      <c r="V68" s="124"/>
      <c r="W68" s="130"/>
      <c r="X68" s="131"/>
      <c r="Y68" s="132"/>
      <c r="Z68" s="132"/>
      <c r="AA68" s="133"/>
      <c r="AB68" s="134"/>
      <c r="AC68" s="135"/>
      <c r="AD68" s="134"/>
      <c r="AE68" s="134"/>
      <c r="AF68" s="136" t="str">
        <f t="shared" si="4"/>
        <v/>
      </c>
      <c r="AG68" s="131"/>
      <c r="AH68" s="137"/>
      <c r="AI68" s="138"/>
      <c r="AJ68" s="133"/>
      <c r="AK68" s="134"/>
      <c r="AL68" s="135"/>
      <c r="AM68" s="134"/>
      <c r="AN68" s="134"/>
      <c r="AO68" s="136" t="str">
        <f t="shared" si="2"/>
        <v/>
      </c>
      <c r="AP68" s="131"/>
      <c r="AQ68" s="137"/>
      <c r="AR68" s="138"/>
      <c r="AS68" s="36"/>
    </row>
    <row r="69" spans="1:45" s="38" customFormat="1" ht="16">
      <c r="A69" s="46"/>
      <c r="B69" s="123" t="str">
        <f>IF(AND(C69&lt;&gt;"",C68&lt;&gt;C69),MAX($B$13:B68)+1,"")</f>
        <v/>
      </c>
      <c r="C69" s="106"/>
      <c r="D69" s="125"/>
      <c r="E69" s="125"/>
      <c r="F69" s="124"/>
      <c r="G69" s="108" t="str">
        <f t="shared" si="3"/>
        <v/>
      </c>
      <c r="H69" s="109" t="str">
        <f ca="1">IF($G69=1,IF(MIN(OFFSET($AA69,0,0,COUNTIF($C69:$C$82,$C69),1))=0,"",MIN(OFFSET($AA69,0,0,COUNTIF($C69:$C$82,$C69),1))),"")</f>
        <v/>
      </c>
      <c r="I69" s="110" t="str">
        <f ca="1">IF($G69=1,IF(SUMPRODUCT(MAX(($C$13:$C$82=$C69)*($K$13:$K$82)))=COUNTIF($C69:$C$82,C69)-COUNTBLANK(OFFSET($AF69,0,0,COUNTIF($C69:$C$82,$C69),1)),IF(MAX(OFFSET($AF69,0,0,COUNTIF($C69:$C$82,$C69),1))=0,"",MAX(OFFSET($AF69,0,0,COUNTIF($C69:$C$82,$C69),1))),""),"")</f>
        <v/>
      </c>
      <c r="J69" s="111" t="str">
        <f>IF(C69=0,"",IF(C68=C69,SUMPRODUCT(MAX(($C$11:$C68=C69)*($J$11:$J68))+1),1))</f>
        <v/>
      </c>
      <c r="K69" s="108">
        <f>IF(C69=0,0,IF(AND(OR(N69="入力・確認",N69="確認"),O69&lt;&gt;"不要"),IF(C68=C69,SUMPRODUCT(MAX(($C$12:$C68=C69)*($K$12:$K68))+1),1),0))</f>
        <v>0</v>
      </c>
      <c r="L69" s="176"/>
      <c r="M69" s="125"/>
      <c r="N69" s="126"/>
      <c r="O69" s="127"/>
      <c r="P69" s="128"/>
      <c r="Q69" s="129">
        <f t="shared" si="1"/>
        <v>0</v>
      </c>
      <c r="R69" s="130"/>
      <c r="S69" s="124"/>
      <c r="T69" s="131"/>
      <c r="U69" s="124"/>
      <c r="V69" s="124"/>
      <c r="W69" s="130"/>
      <c r="X69" s="131"/>
      <c r="Y69" s="132"/>
      <c r="Z69" s="132"/>
      <c r="AA69" s="133"/>
      <c r="AB69" s="134"/>
      <c r="AC69" s="135"/>
      <c r="AD69" s="134"/>
      <c r="AE69" s="134"/>
      <c r="AF69" s="136" t="str">
        <f t="shared" si="4"/>
        <v/>
      </c>
      <c r="AG69" s="131"/>
      <c r="AH69" s="137"/>
      <c r="AI69" s="138"/>
      <c r="AJ69" s="133"/>
      <c r="AK69" s="134"/>
      <c r="AL69" s="135"/>
      <c r="AM69" s="134"/>
      <c r="AN69" s="134"/>
      <c r="AO69" s="136" t="str">
        <f t="shared" si="2"/>
        <v/>
      </c>
      <c r="AP69" s="131"/>
      <c r="AQ69" s="137"/>
      <c r="AR69" s="138"/>
      <c r="AS69" s="36"/>
    </row>
    <row r="70" spans="1:45" s="38" customFormat="1" ht="16">
      <c r="A70" s="46"/>
      <c r="B70" s="123" t="str">
        <f>IF(AND(C70&lt;&gt;"",C69&lt;&gt;C70),MAX($B$13:B69)+1,"")</f>
        <v/>
      </c>
      <c r="C70" s="106"/>
      <c r="D70" s="125"/>
      <c r="E70" s="125"/>
      <c r="F70" s="124"/>
      <c r="G70" s="108" t="str">
        <f t="shared" si="3"/>
        <v/>
      </c>
      <c r="H70" s="109" t="str">
        <f ca="1">IF($G70=1,IF(MIN(OFFSET($AA70,0,0,COUNTIF($C70:$C$82,$C70),1))=0,"",MIN(OFFSET($AA70,0,0,COUNTIF($C70:$C$82,$C70),1))),"")</f>
        <v/>
      </c>
      <c r="I70" s="110" t="str">
        <f ca="1">IF($G70=1,IF(SUMPRODUCT(MAX(($C$13:$C$82=$C70)*($K$13:$K$82)))=COUNTIF($C70:$C$82,C70)-COUNTBLANK(OFFSET($AF70,0,0,COUNTIF($C70:$C$82,$C70),1)),IF(MAX(OFFSET($AF70,0,0,COUNTIF($C70:$C$82,$C70),1))=0,"",MAX(OFFSET($AF70,0,0,COUNTIF($C70:$C$82,$C70),1))),""),"")</f>
        <v/>
      </c>
      <c r="J70" s="111" t="str">
        <f>IF(C70=0,"",IF(C69=C70,SUMPRODUCT(MAX(($C$11:$C69=C70)*($J$11:$J69))+1),1))</f>
        <v/>
      </c>
      <c r="K70" s="108">
        <f>IF(C70=0,0,IF(AND(OR(N70="入力・確認",N70="確認"),O70&lt;&gt;"不要"),IF(C69=C70,SUMPRODUCT(MAX(($C$12:$C69=C70)*($K$12:$K69))+1),1),0))</f>
        <v>0</v>
      </c>
      <c r="L70" s="176"/>
      <c r="M70" s="125"/>
      <c r="N70" s="126"/>
      <c r="O70" s="127"/>
      <c r="P70" s="128"/>
      <c r="Q70" s="129">
        <f t="shared" si="1"/>
        <v>0</v>
      </c>
      <c r="R70" s="130"/>
      <c r="S70" s="124"/>
      <c r="T70" s="131"/>
      <c r="U70" s="124"/>
      <c r="V70" s="124"/>
      <c r="W70" s="130"/>
      <c r="X70" s="131"/>
      <c r="Y70" s="132"/>
      <c r="Z70" s="132"/>
      <c r="AA70" s="133"/>
      <c r="AB70" s="134"/>
      <c r="AC70" s="135"/>
      <c r="AD70" s="134"/>
      <c r="AE70" s="134"/>
      <c r="AF70" s="136" t="str">
        <f t="shared" si="4"/>
        <v/>
      </c>
      <c r="AG70" s="131"/>
      <c r="AH70" s="137"/>
      <c r="AI70" s="138"/>
      <c r="AJ70" s="133"/>
      <c r="AK70" s="134"/>
      <c r="AL70" s="135"/>
      <c r="AM70" s="134"/>
      <c r="AN70" s="134"/>
      <c r="AO70" s="136" t="str">
        <f t="shared" si="2"/>
        <v/>
      </c>
      <c r="AP70" s="131"/>
      <c r="AQ70" s="137"/>
      <c r="AR70" s="138"/>
      <c r="AS70" s="36"/>
    </row>
    <row r="71" spans="1:45" s="38" customFormat="1" ht="16">
      <c r="A71" s="46"/>
      <c r="B71" s="123" t="str">
        <f>IF(AND(C71&lt;&gt;"",C70&lt;&gt;C71),MAX($B$13:B70)+1,"")</f>
        <v/>
      </c>
      <c r="C71" s="106"/>
      <c r="D71" s="125"/>
      <c r="E71" s="125"/>
      <c r="F71" s="124"/>
      <c r="G71" s="108" t="str">
        <f t="shared" si="3"/>
        <v/>
      </c>
      <c r="H71" s="109" t="str">
        <f ca="1">IF($G71=1,IF(MIN(OFFSET($AA71,0,0,COUNTIF($C71:$C$82,$C71),1))=0,"",MIN(OFFSET($AA71,0,0,COUNTIF($C71:$C$82,$C71),1))),"")</f>
        <v/>
      </c>
      <c r="I71" s="110" t="str">
        <f ca="1">IF($G71=1,IF(SUMPRODUCT(MAX(($C$13:$C$82=$C71)*($K$13:$K$82)))=COUNTIF($C71:$C$82,C71)-COUNTBLANK(OFFSET($AF71,0,0,COUNTIF($C71:$C$82,$C71),1)),IF(MAX(OFFSET($AF71,0,0,COUNTIF($C71:$C$82,$C71),1))=0,"",MAX(OFFSET($AF71,0,0,COUNTIF($C71:$C$82,$C71),1))),""),"")</f>
        <v/>
      </c>
      <c r="J71" s="111" t="str">
        <f>IF(C71=0,"",IF(C70=C71,SUMPRODUCT(MAX(($C$11:$C70=C71)*($J$11:$J70))+1),1))</f>
        <v/>
      </c>
      <c r="K71" s="108">
        <f>IF(C71=0,0,IF(AND(OR(N71="入力・確認",N71="確認"),O71&lt;&gt;"不要"),IF(C70=C71,SUMPRODUCT(MAX(($C$12:$C70=C71)*($K$12:$K70))+1),1),0))</f>
        <v>0</v>
      </c>
      <c r="L71" s="176"/>
      <c r="M71" s="125"/>
      <c r="N71" s="126"/>
      <c r="O71" s="127"/>
      <c r="P71" s="128"/>
      <c r="Q71" s="129">
        <f t="shared" si="1"/>
        <v>0</v>
      </c>
      <c r="R71" s="130"/>
      <c r="S71" s="124"/>
      <c r="T71" s="131"/>
      <c r="U71" s="124"/>
      <c r="V71" s="124"/>
      <c r="W71" s="130"/>
      <c r="X71" s="131"/>
      <c r="Y71" s="132"/>
      <c r="Z71" s="132"/>
      <c r="AA71" s="133"/>
      <c r="AB71" s="134"/>
      <c r="AC71" s="135"/>
      <c r="AD71" s="134"/>
      <c r="AE71" s="134"/>
      <c r="AF71" s="136" t="str">
        <f t="shared" si="4"/>
        <v/>
      </c>
      <c r="AG71" s="131"/>
      <c r="AH71" s="137"/>
      <c r="AI71" s="138"/>
      <c r="AJ71" s="133"/>
      <c r="AK71" s="134"/>
      <c r="AL71" s="135"/>
      <c r="AM71" s="134"/>
      <c r="AN71" s="134"/>
      <c r="AO71" s="136" t="str">
        <f t="shared" si="2"/>
        <v/>
      </c>
      <c r="AP71" s="131"/>
      <c r="AQ71" s="137"/>
      <c r="AR71" s="138"/>
      <c r="AS71" s="36"/>
    </row>
    <row r="72" spans="1:45" s="38" customFormat="1" ht="16">
      <c r="A72" s="46"/>
      <c r="B72" s="123" t="str">
        <f>IF(AND(C72&lt;&gt;"",C71&lt;&gt;C72),MAX($B$13:B71)+1,"")</f>
        <v/>
      </c>
      <c r="C72" s="106"/>
      <c r="D72" s="125"/>
      <c r="E72" s="125"/>
      <c r="F72" s="124"/>
      <c r="G72" s="108" t="str">
        <f t="shared" si="3"/>
        <v/>
      </c>
      <c r="H72" s="109" t="str">
        <f ca="1">IF($G72=1,IF(MIN(OFFSET($AA72,0,0,COUNTIF($C72:$C$82,$C72),1))=0,"",MIN(OFFSET($AA72,0,0,COUNTIF($C72:$C$82,$C72),1))),"")</f>
        <v/>
      </c>
      <c r="I72" s="110" t="str">
        <f ca="1">IF($G72=1,IF(SUMPRODUCT(MAX(($C$13:$C$82=$C72)*($K$13:$K$82)))=COUNTIF($C72:$C$82,C72)-COUNTBLANK(OFFSET($AF72,0,0,COUNTIF($C72:$C$82,$C72),1)),IF(MAX(OFFSET($AF72,0,0,COUNTIF($C72:$C$82,$C72),1))=0,"",MAX(OFFSET($AF72,0,0,COUNTIF($C72:$C$82,$C72),1))),""),"")</f>
        <v/>
      </c>
      <c r="J72" s="111" t="str">
        <f>IF(C72=0,"",IF(C71=C72,SUMPRODUCT(MAX(($C$11:$C71=C72)*($J$11:$J71))+1),1))</f>
        <v/>
      </c>
      <c r="K72" s="108">
        <f>IF(C72=0,0,IF(AND(OR(N72="入力・確認",N72="確認"),O72&lt;&gt;"不要"),IF(C71=C72,SUMPRODUCT(MAX(($C$12:$C71=C72)*($K$12:$K71))+1),1),0))</f>
        <v>0</v>
      </c>
      <c r="L72" s="176"/>
      <c r="M72" s="125"/>
      <c r="N72" s="126"/>
      <c r="O72" s="127"/>
      <c r="P72" s="128"/>
      <c r="Q72" s="129">
        <f t="shared" si="1"/>
        <v>0</v>
      </c>
      <c r="R72" s="130"/>
      <c r="S72" s="124"/>
      <c r="T72" s="131"/>
      <c r="U72" s="124"/>
      <c r="V72" s="124"/>
      <c r="W72" s="130"/>
      <c r="X72" s="131"/>
      <c r="Y72" s="132"/>
      <c r="Z72" s="132"/>
      <c r="AA72" s="133"/>
      <c r="AB72" s="134"/>
      <c r="AC72" s="135"/>
      <c r="AD72" s="134"/>
      <c r="AE72" s="134"/>
      <c r="AF72" s="136" t="str">
        <f t="shared" si="4"/>
        <v/>
      </c>
      <c r="AG72" s="131"/>
      <c r="AH72" s="137"/>
      <c r="AI72" s="138"/>
      <c r="AJ72" s="133"/>
      <c r="AK72" s="134"/>
      <c r="AL72" s="135"/>
      <c r="AM72" s="134"/>
      <c r="AN72" s="134"/>
      <c r="AO72" s="136" t="str">
        <f t="shared" si="2"/>
        <v/>
      </c>
      <c r="AP72" s="131"/>
      <c r="AQ72" s="137"/>
      <c r="AR72" s="138"/>
      <c r="AS72" s="36"/>
    </row>
    <row r="73" spans="1:45" s="38" customFormat="1" ht="16">
      <c r="A73" s="46"/>
      <c r="B73" s="123" t="str">
        <f>IF(AND(C73&lt;&gt;"",C72&lt;&gt;C73),MAX($B$13:B72)+1,"")</f>
        <v/>
      </c>
      <c r="C73" s="106"/>
      <c r="D73" s="125"/>
      <c r="E73" s="125"/>
      <c r="F73" s="124"/>
      <c r="G73" s="108" t="str">
        <f t="shared" si="3"/>
        <v/>
      </c>
      <c r="H73" s="109" t="str">
        <f ca="1">IF($G73=1,IF(MIN(OFFSET($AA73,0,0,COUNTIF($C73:$C$82,$C73),1))=0,"",MIN(OFFSET($AA73,0,0,COUNTIF($C73:$C$82,$C73),1))),"")</f>
        <v/>
      </c>
      <c r="I73" s="110" t="str">
        <f ca="1">IF($G73=1,IF(SUMPRODUCT(MAX(($C$13:$C$82=$C73)*($K$13:$K$82)))=COUNTIF($C73:$C$82,C73)-COUNTBLANK(OFFSET($AF73,0,0,COUNTIF($C73:$C$82,$C73),1)),IF(MAX(OFFSET($AF73,0,0,COUNTIF($C73:$C$82,$C73),1))=0,"",MAX(OFFSET($AF73,0,0,COUNTIF($C73:$C$82,$C73),1))),""),"")</f>
        <v/>
      </c>
      <c r="J73" s="111" t="str">
        <f>IF(C73=0,"",IF(C72=C73,SUMPRODUCT(MAX(($C$11:$C72=C73)*($J$11:$J72))+1),1))</f>
        <v/>
      </c>
      <c r="K73" s="108">
        <f>IF(C73=0,0,IF(AND(OR(N73="入力・確認",N73="確認"),O73&lt;&gt;"不要"),IF(C72=C73,SUMPRODUCT(MAX(($C$12:$C72=C73)*($K$12:$K72))+1),1),0))</f>
        <v>0</v>
      </c>
      <c r="L73" s="176"/>
      <c r="M73" s="125"/>
      <c r="N73" s="126"/>
      <c r="O73" s="127"/>
      <c r="P73" s="128"/>
      <c r="Q73" s="129">
        <f t="shared" si="1"/>
        <v>0</v>
      </c>
      <c r="R73" s="130"/>
      <c r="S73" s="124"/>
      <c r="T73" s="131"/>
      <c r="U73" s="124"/>
      <c r="V73" s="124"/>
      <c r="W73" s="130"/>
      <c r="X73" s="131"/>
      <c r="Y73" s="132"/>
      <c r="Z73" s="132"/>
      <c r="AA73" s="133"/>
      <c r="AB73" s="134"/>
      <c r="AC73" s="135"/>
      <c r="AD73" s="134"/>
      <c r="AE73" s="134"/>
      <c r="AF73" s="136" t="str">
        <f t="shared" si="4"/>
        <v/>
      </c>
      <c r="AG73" s="131"/>
      <c r="AH73" s="137"/>
      <c r="AI73" s="138"/>
      <c r="AJ73" s="133"/>
      <c r="AK73" s="134"/>
      <c r="AL73" s="135"/>
      <c r="AM73" s="134"/>
      <c r="AN73" s="134"/>
      <c r="AO73" s="136" t="str">
        <f t="shared" si="2"/>
        <v/>
      </c>
      <c r="AP73" s="131"/>
      <c r="AQ73" s="137"/>
      <c r="AR73" s="138"/>
      <c r="AS73" s="36"/>
    </row>
    <row r="74" spans="1:45" s="38" customFormat="1" ht="16">
      <c r="A74" s="46"/>
      <c r="B74" s="123" t="str">
        <f>IF(AND(C74&lt;&gt;"",C73&lt;&gt;C74),MAX($B$13:B73)+1,"")</f>
        <v/>
      </c>
      <c r="C74" s="106"/>
      <c r="D74" s="125"/>
      <c r="E74" s="125"/>
      <c r="F74" s="124"/>
      <c r="G74" s="108" t="str">
        <f t="shared" si="3"/>
        <v/>
      </c>
      <c r="H74" s="109" t="str">
        <f ca="1">IF($G74=1,IF(MIN(OFFSET($AA74,0,0,COUNTIF($C74:$C$82,$C74),1))=0,"",MIN(OFFSET($AA74,0,0,COUNTIF($C74:$C$82,$C74),1))),"")</f>
        <v/>
      </c>
      <c r="I74" s="110" t="str">
        <f ca="1">IF($G74=1,IF(SUMPRODUCT(MAX(($C$13:$C$82=$C74)*($K$13:$K$82)))=COUNTIF($C74:$C$82,C74)-COUNTBLANK(OFFSET($AF74,0,0,COUNTIF($C74:$C$82,$C74),1)),IF(MAX(OFFSET($AF74,0,0,COUNTIF($C74:$C$82,$C74),1))=0,"",MAX(OFFSET($AF74,0,0,COUNTIF($C74:$C$82,$C74),1))),""),"")</f>
        <v/>
      </c>
      <c r="J74" s="111" t="str">
        <f>IF(C74=0,"",IF(C73=C74,SUMPRODUCT(MAX(($C$11:$C73=C74)*($J$11:$J73))+1),1))</f>
        <v/>
      </c>
      <c r="K74" s="108">
        <f>IF(C74=0,0,IF(AND(OR(N74="入力・確認",N74="確認"),O74&lt;&gt;"不要"),IF(C73=C74,SUMPRODUCT(MAX(($C$12:$C73=C74)*($K$12:$K73))+1),1),0))</f>
        <v>0</v>
      </c>
      <c r="L74" s="176"/>
      <c r="M74" s="125"/>
      <c r="N74" s="126"/>
      <c r="O74" s="127"/>
      <c r="P74" s="128"/>
      <c r="Q74" s="129">
        <f t="shared" si="1"/>
        <v>0</v>
      </c>
      <c r="R74" s="130"/>
      <c r="S74" s="124"/>
      <c r="T74" s="131"/>
      <c r="U74" s="124"/>
      <c r="V74" s="124"/>
      <c r="W74" s="130"/>
      <c r="X74" s="131"/>
      <c r="Y74" s="132"/>
      <c r="Z74" s="132"/>
      <c r="AA74" s="133"/>
      <c r="AB74" s="134"/>
      <c r="AC74" s="135"/>
      <c r="AD74" s="134"/>
      <c r="AE74" s="134"/>
      <c r="AF74" s="136" t="str">
        <f t="shared" si="4"/>
        <v/>
      </c>
      <c r="AG74" s="131"/>
      <c r="AH74" s="137"/>
      <c r="AI74" s="138"/>
      <c r="AJ74" s="133"/>
      <c r="AK74" s="134"/>
      <c r="AL74" s="135"/>
      <c r="AM74" s="134"/>
      <c r="AN74" s="134"/>
      <c r="AO74" s="136" t="str">
        <f t="shared" si="2"/>
        <v/>
      </c>
      <c r="AP74" s="131"/>
      <c r="AQ74" s="137"/>
      <c r="AR74" s="138"/>
      <c r="AS74" s="36"/>
    </row>
    <row r="75" spans="1:45" s="38" customFormat="1" ht="16">
      <c r="A75" s="46"/>
      <c r="B75" s="123" t="str">
        <f>IF(AND(C75&lt;&gt;"",C74&lt;&gt;C75),MAX($B$13:B74)+1,"")</f>
        <v/>
      </c>
      <c r="C75" s="106"/>
      <c r="D75" s="125"/>
      <c r="E75" s="125"/>
      <c r="F75" s="124"/>
      <c r="G75" s="108" t="str">
        <f t="shared" si="3"/>
        <v/>
      </c>
      <c r="H75" s="109" t="str">
        <f ca="1">IF($G75=1,IF(MIN(OFFSET($AA75,0,0,COUNTIF($C75:$C$82,$C75),1))=0,"",MIN(OFFSET($AA75,0,0,COUNTIF($C75:$C$82,$C75),1))),"")</f>
        <v/>
      </c>
      <c r="I75" s="110" t="str">
        <f ca="1">IF($G75=1,IF(SUMPRODUCT(MAX(($C$13:$C$82=$C75)*($K$13:$K$82)))=COUNTIF($C75:$C$82,C75)-COUNTBLANK(OFFSET($AF75,0,0,COUNTIF($C75:$C$82,$C75),1)),IF(MAX(OFFSET($AF75,0,0,COUNTIF($C75:$C$82,$C75),1))=0,"",MAX(OFFSET($AF75,0,0,COUNTIF($C75:$C$82,$C75),1))),""),"")</f>
        <v/>
      </c>
      <c r="J75" s="111" t="str">
        <f>IF(C75=0,"",IF(C74=C75,SUMPRODUCT(MAX(($C$11:$C74=C75)*($J$11:$J74))+1),1))</f>
        <v/>
      </c>
      <c r="K75" s="108">
        <f>IF(C75=0,0,IF(AND(OR(N75="入力・確認",N75="確認"),O75&lt;&gt;"不要"),IF(C74=C75,SUMPRODUCT(MAX(($C$12:$C74=C75)*($K$12:$K74))+1),1),0))</f>
        <v>0</v>
      </c>
      <c r="L75" s="176"/>
      <c r="M75" s="125"/>
      <c r="N75" s="126"/>
      <c r="O75" s="127"/>
      <c r="P75" s="128"/>
      <c r="Q75" s="129">
        <f t="shared" si="1"/>
        <v>0</v>
      </c>
      <c r="R75" s="130"/>
      <c r="S75" s="124"/>
      <c r="T75" s="131"/>
      <c r="U75" s="124"/>
      <c r="V75" s="124"/>
      <c r="W75" s="130"/>
      <c r="X75" s="131"/>
      <c r="Y75" s="132"/>
      <c r="Z75" s="132"/>
      <c r="AA75" s="133"/>
      <c r="AB75" s="134"/>
      <c r="AC75" s="135"/>
      <c r="AD75" s="134"/>
      <c r="AE75" s="134"/>
      <c r="AF75" s="136" t="str">
        <f t="shared" si="4"/>
        <v/>
      </c>
      <c r="AG75" s="131"/>
      <c r="AH75" s="137"/>
      <c r="AI75" s="138"/>
      <c r="AJ75" s="133"/>
      <c r="AK75" s="134"/>
      <c r="AL75" s="135"/>
      <c r="AM75" s="134"/>
      <c r="AN75" s="134"/>
      <c r="AO75" s="136" t="str">
        <f t="shared" si="2"/>
        <v/>
      </c>
      <c r="AP75" s="131"/>
      <c r="AQ75" s="137"/>
      <c r="AR75" s="138"/>
      <c r="AS75" s="36"/>
    </row>
    <row r="76" spans="1:45" s="38" customFormat="1" ht="16">
      <c r="A76" s="46"/>
      <c r="B76" s="123" t="str">
        <f>IF(AND(C76&lt;&gt;"",C75&lt;&gt;C76),MAX($B$13:B75)+1,"")</f>
        <v/>
      </c>
      <c r="C76" s="106"/>
      <c r="D76" s="125"/>
      <c r="E76" s="125"/>
      <c r="F76" s="124"/>
      <c r="G76" s="108" t="str">
        <f t="shared" si="3"/>
        <v/>
      </c>
      <c r="H76" s="109" t="str">
        <f ca="1">IF($G76=1,IF(MIN(OFFSET($AA76,0,0,COUNTIF($C76:$C$82,$C76),1))=0,"",MIN(OFFSET($AA76,0,0,COUNTIF($C76:$C$82,$C76),1))),"")</f>
        <v/>
      </c>
      <c r="I76" s="110" t="str">
        <f ca="1">IF($G76=1,IF(SUMPRODUCT(MAX(($C$13:$C$82=$C76)*($K$13:$K$82)))=COUNTIF($C76:$C$82,C76)-COUNTBLANK(OFFSET($AF76,0,0,COUNTIF($C76:$C$82,$C76),1)),IF(MAX(OFFSET($AF76,0,0,COUNTIF($C76:$C$82,$C76),1))=0,"",MAX(OFFSET($AF76,0,0,COUNTIF($C76:$C$82,$C76),1))),""),"")</f>
        <v/>
      </c>
      <c r="J76" s="111" t="str">
        <f>IF(C76=0,"",IF(C75=C76,SUMPRODUCT(MAX(($C$11:$C75=C76)*($J$11:$J75))+1),1))</f>
        <v/>
      </c>
      <c r="K76" s="108">
        <f>IF(C76=0,0,IF(AND(OR(N76="入力・確認",N76="確認"),O76&lt;&gt;"不要"),IF(C75=C76,SUMPRODUCT(MAX(($C$12:$C75=C76)*($K$12:$K75))+1),1),0))</f>
        <v>0</v>
      </c>
      <c r="L76" s="176"/>
      <c r="M76" s="125"/>
      <c r="N76" s="126"/>
      <c r="O76" s="127"/>
      <c r="P76" s="128"/>
      <c r="Q76" s="129">
        <f t="shared" ref="Q76:Q82" si="5">IF(AND(OR(N76="入力・確認",N76="確認"),O76&lt;&gt;"不要"),Z76,0)</f>
        <v>0</v>
      </c>
      <c r="R76" s="130"/>
      <c r="S76" s="124"/>
      <c r="T76" s="131"/>
      <c r="U76" s="124"/>
      <c r="V76" s="124"/>
      <c r="W76" s="130"/>
      <c r="X76" s="131"/>
      <c r="Y76" s="132"/>
      <c r="Z76" s="132"/>
      <c r="AA76" s="133"/>
      <c r="AB76" s="134"/>
      <c r="AC76" s="135"/>
      <c r="AD76" s="134"/>
      <c r="AE76" s="134"/>
      <c r="AF76" s="136" t="str">
        <f t="shared" ref="AF76:AF82" si="6">IF(AE76="OK",IF(AC76&lt;&gt;"",AC76,AA76),"")</f>
        <v/>
      </c>
      <c r="AG76" s="131"/>
      <c r="AH76" s="137"/>
      <c r="AI76" s="138"/>
      <c r="AJ76" s="133"/>
      <c r="AK76" s="134"/>
      <c r="AL76" s="135"/>
      <c r="AM76" s="134"/>
      <c r="AN76" s="134"/>
      <c r="AO76" s="136" t="str">
        <f t="shared" si="2"/>
        <v/>
      </c>
      <c r="AP76" s="131"/>
      <c r="AQ76" s="137"/>
      <c r="AR76" s="138"/>
      <c r="AS76" s="36"/>
    </row>
    <row r="77" spans="1:45" s="38" customFormat="1" ht="16">
      <c r="A77" s="46"/>
      <c r="B77" s="123" t="str">
        <f>IF(AND(C77&lt;&gt;"",C76&lt;&gt;C77),MAX($B$13:B76)+1,"")</f>
        <v/>
      </c>
      <c r="C77" s="106"/>
      <c r="D77" s="125"/>
      <c r="E77" s="125"/>
      <c r="F77" s="124"/>
      <c r="G77" s="108" t="str">
        <f t="shared" si="3"/>
        <v/>
      </c>
      <c r="H77" s="109" t="str">
        <f ca="1">IF($G77=1,IF(MIN(OFFSET($AA77,0,0,COUNTIF($C77:$C$82,$C77),1))=0,"",MIN(OFFSET($AA77,0,0,COUNTIF($C77:$C$82,$C77),1))),"")</f>
        <v/>
      </c>
      <c r="I77" s="110" t="str">
        <f ca="1">IF($G77=1,IF(SUMPRODUCT(MAX(($C$13:$C$82=$C77)*($K$13:$K$82)))=COUNTIF($C77:$C$82,C77)-COUNTBLANK(OFFSET($AF77,0,0,COUNTIF($C77:$C$82,$C77),1)),IF(MAX(OFFSET($AF77,0,0,COUNTIF($C77:$C$82,$C77),1))=0,"",MAX(OFFSET($AF77,0,0,COUNTIF($C77:$C$82,$C77),1))),""),"")</f>
        <v/>
      </c>
      <c r="J77" s="111" t="str">
        <f>IF(C77=0,"",IF(C76=C77,SUMPRODUCT(MAX(($C$11:$C76=C77)*($J$11:$J76))+1),1))</f>
        <v/>
      </c>
      <c r="K77" s="108">
        <f>IF(C77=0,0,IF(AND(OR(N77="入力・確認",N77="確認"),O77&lt;&gt;"不要"),IF(C76=C77,SUMPRODUCT(MAX(($C$12:$C76=C77)*($K$12:$K76))+1),1),0))</f>
        <v>0</v>
      </c>
      <c r="L77" s="176"/>
      <c r="M77" s="125"/>
      <c r="N77" s="126"/>
      <c r="O77" s="127"/>
      <c r="P77" s="128"/>
      <c r="Q77" s="129">
        <f t="shared" si="5"/>
        <v>0</v>
      </c>
      <c r="R77" s="130"/>
      <c r="S77" s="124"/>
      <c r="T77" s="131"/>
      <c r="U77" s="124"/>
      <c r="V77" s="124"/>
      <c r="W77" s="130"/>
      <c r="X77" s="131"/>
      <c r="Y77" s="132"/>
      <c r="Z77" s="132"/>
      <c r="AA77" s="133"/>
      <c r="AB77" s="134"/>
      <c r="AC77" s="135"/>
      <c r="AD77" s="134"/>
      <c r="AE77" s="134"/>
      <c r="AF77" s="136" t="str">
        <f t="shared" si="6"/>
        <v/>
      </c>
      <c r="AG77" s="131"/>
      <c r="AH77" s="137"/>
      <c r="AI77" s="138"/>
      <c r="AJ77" s="133"/>
      <c r="AK77" s="134"/>
      <c r="AL77" s="135"/>
      <c r="AM77" s="134"/>
      <c r="AN77" s="134"/>
      <c r="AO77" s="136" t="str">
        <f t="shared" ref="AO77:AO82" si="7">IF(AN77="OK",IF(AL77&lt;&gt;"",AL77,AJ77),"")</f>
        <v/>
      </c>
      <c r="AP77" s="131"/>
      <c r="AQ77" s="137"/>
      <c r="AR77" s="138"/>
      <c r="AS77" s="36"/>
    </row>
    <row r="78" spans="1:45" s="38" customFormat="1" ht="16">
      <c r="A78" s="46"/>
      <c r="B78" s="123" t="str">
        <f>IF(AND(C78&lt;&gt;"",C77&lt;&gt;C78),MAX($B$13:B77)+1,"")</f>
        <v/>
      </c>
      <c r="C78" s="106"/>
      <c r="D78" s="125"/>
      <c r="E78" s="125"/>
      <c r="F78" s="124"/>
      <c r="G78" s="108" t="str">
        <f t="shared" si="3"/>
        <v/>
      </c>
      <c r="H78" s="109" t="str">
        <f ca="1">IF($G78=1,IF(MIN(OFFSET($AA78,0,0,COUNTIF($C78:$C$82,$C78),1))=0,"",MIN(OFFSET($AA78,0,0,COUNTIF($C78:$C$82,$C78),1))),"")</f>
        <v/>
      </c>
      <c r="I78" s="110" t="str">
        <f ca="1">IF($G78=1,IF(SUMPRODUCT(MAX(($C$13:$C$82=$C78)*($K$13:$K$82)))=COUNTIF($C78:$C$82,C78)-COUNTBLANK(OFFSET($AF78,0,0,COUNTIF($C78:$C$82,$C78),1)),IF(MAX(OFFSET($AF78,0,0,COUNTIF($C78:$C$82,$C78),1))=0,"",MAX(OFFSET($AF78,0,0,COUNTIF($C78:$C$82,$C78),1))),""),"")</f>
        <v/>
      </c>
      <c r="J78" s="111" t="str">
        <f>IF(C78=0,"",IF(C77=C78,SUMPRODUCT(MAX(($C$11:$C77=C78)*($J$11:$J77))+1),1))</f>
        <v/>
      </c>
      <c r="K78" s="108">
        <f>IF(C78=0,0,IF(AND(OR(N78="入力・確認",N78="確認"),O78&lt;&gt;"不要"),IF(C77=C78,SUMPRODUCT(MAX(($C$12:$C77=C78)*($K$12:$K77))+1),1),0))</f>
        <v>0</v>
      </c>
      <c r="L78" s="176"/>
      <c r="M78" s="125"/>
      <c r="N78" s="126"/>
      <c r="O78" s="127"/>
      <c r="P78" s="128"/>
      <c r="Q78" s="129">
        <f t="shared" si="5"/>
        <v>0</v>
      </c>
      <c r="R78" s="130"/>
      <c r="S78" s="124"/>
      <c r="T78" s="131"/>
      <c r="U78" s="124"/>
      <c r="V78" s="124"/>
      <c r="W78" s="130"/>
      <c r="X78" s="131"/>
      <c r="Y78" s="132"/>
      <c r="Z78" s="132"/>
      <c r="AA78" s="133"/>
      <c r="AB78" s="134"/>
      <c r="AC78" s="135"/>
      <c r="AD78" s="134"/>
      <c r="AE78" s="134"/>
      <c r="AF78" s="136" t="str">
        <f t="shared" si="6"/>
        <v/>
      </c>
      <c r="AG78" s="131"/>
      <c r="AH78" s="137"/>
      <c r="AI78" s="138"/>
      <c r="AJ78" s="133"/>
      <c r="AK78" s="134"/>
      <c r="AL78" s="135"/>
      <c r="AM78" s="134"/>
      <c r="AN78" s="134"/>
      <c r="AO78" s="136" t="str">
        <f t="shared" si="7"/>
        <v/>
      </c>
      <c r="AP78" s="131"/>
      <c r="AQ78" s="137"/>
      <c r="AR78" s="138"/>
      <c r="AS78" s="36"/>
    </row>
    <row r="79" spans="1:45" s="38" customFormat="1" ht="16">
      <c r="A79" s="46"/>
      <c r="B79" s="123" t="str">
        <f>IF(AND(C79&lt;&gt;"",C78&lt;&gt;C79),MAX($B$13:B78)+1,"")</f>
        <v/>
      </c>
      <c r="C79" s="106"/>
      <c r="D79" s="125"/>
      <c r="E79" s="125"/>
      <c r="F79" s="124"/>
      <c r="G79" s="108" t="str">
        <f t="shared" si="3"/>
        <v/>
      </c>
      <c r="H79" s="109" t="str">
        <f ca="1">IF($G79=1,IF(MIN(OFFSET($AA79,0,0,COUNTIF($C79:$C$82,$C79),1))=0,"",MIN(OFFSET($AA79,0,0,COUNTIF($C79:$C$82,$C79),1))),"")</f>
        <v/>
      </c>
      <c r="I79" s="110" t="str">
        <f ca="1">IF($G79=1,IF(SUMPRODUCT(MAX(($C$13:$C$82=$C79)*($K$13:$K$82)))=COUNTIF($C79:$C$82,C79)-COUNTBLANK(OFFSET($AF79,0,0,COUNTIF($C79:$C$82,$C79),1)),IF(MAX(OFFSET($AF79,0,0,COUNTIF($C79:$C$82,$C79),1))=0,"",MAX(OFFSET($AF79,0,0,COUNTIF($C79:$C$82,$C79),1))),""),"")</f>
        <v/>
      </c>
      <c r="J79" s="111" t="str">
        <f>IF(C79=0,"",IF(C78=C79,SUMPRODUCT(MAX(($C$11:$C78=C79)*($J$11:$J78))+1),1))</f>
        <v/>
      </c>
      <c r="K79" s="108">
        <f>IF(C79=0,0,IF(AND(OR(N79="入力・確認",N79="確認"),O79&lt;&gt;"不要"),IF(C78=C79,SUMPRODUCT(MAX(($C$12:$C78=C79)*($K$12:$K78))+1),1),0))</f>
        <v>0</v>
      </c>
      <c r="L79" s="176"/>
      <c r="M79" s="125"/>
      <c r="N79" s="126"/>
      <c r="O79" s="127"/>
      <c r="P79" s="128"/>
      <c r="Q79" s="129">
        <f t="shared" si="5"/>
        <v>0</v>
      </c>
      <c r="R79" s="130"/>
      <c r="S79" s="124"/>
      <c r="T79" s="131"/>
      <c r="U79" s="124"/>
      <c r="V79" s="124"/>
      <c r="W79" s="130"/>
      <c r="X79" s="131"/>
      <c r="Y79" s="132"/>
      <c r="Z79" s="132"/>
      <c r="AA79" s="133"/>
      <c r="AB79" s="134"/>
      <c r="AC79" s="135"/>
      <c r="AD79" s="134"/>
      <c r="AE79" s="134"/>
      <c r="AF79" s="136" t="str">
        <f t="shared" si="6"/>
        <v/>
      </c>
      <c r="AG79" s="131"/>
      <c r="AH79" s="137"/>
      <c r="AI79" s="138"/>
      <c r="AJ79" s="133"/>
      <c r="AK79" s="134"/>
      <c r="AL79" s="135"/>
      <c r="AM79" s="134"/>
      <c r="AN79" s="134"/>
      <c r="AO79" s="136" t="str">
        <f t="shared" si="7"/>
        <v/>
      </c>
      <c r="AP79" s="131"/>
      <c r="AQ79" s="137"/>
      <c r="AR79" s="138"/>
      <c r="AS79" s="36"/>
    </row>
    <row r="80" spans="1:45" s="38" customFormat="1" ht="16">
      <c r="A80" s="46"/>
      <c r="B80" s="123" t="str">
        <f>IF(AND(C80&lt;&gt;"",C79&lt;&gt;C80),MAX($B$13:B79)+1,"")</f>
        <v/>
      </c>
      <c r="C80" s="106"/>
      <c r="D80" s="125"/>
      <c r="E80" s="125"/>
      <c r="F80" s="124"/>
      <c r="G80" s="108" t="str">
        <f t="shared" si="3"/>
        <v/>
      </c>
      <c r="H80" s="109" t="str">
        <f ca="1">IF($G80=1,IF(MIN(OFFSET($AA80,0,0,COUNTIF($C80:$C$82,$C80),1))=0,"",MIN(OFFSET($AA80,0,0,COUNTIF($C80:$C$82,$C80),1))),"")</f>
        <v/>
      </c>
      <c r="I80" s="110" t="str">
        <f ca="1">IF($G80=1,IF(SUMPRODUCT(MAX(($C$13:$C$82=$C80)*($K$13:$K$82)))=COUNTIF($C80:$C$82,C80)-COUNTBLANK(OFFSET($AF80,0,0,COUNTIF($C80:$C$82,$C80),1)),IF(MAX(OFFSET($AF80,0,0,COUNTIF($C80:$C$82,$C80),1))=0,"",MAX(OFFSET($AF80,0,0,COUNTIF($C80:$C$82,$C80),1))),""),"")</f>
        <v/>
      </c>
      <c r="J80" s="111" t="str">
        <f>IF(C80=0,"",IF(C79=C80,SUMPRODUCT(MAX(($C$11:$C79=C80)*($J$11:$J79))+1),1))</f>
        <v/>
      </c>
      <c r="K80" s="108">
        <f>IF(C80=0,0,IF(AND(OR(N80="入力・確認",N80="確認"),O80&lt;&gt;"不要"),IF(C79=C80,SUMPRODUCT(MAX(($C$12:$C79=C80)*($K$12:$K79))+1),1),0))</f>
        <v>0</v>
      </c>
      <c r="L80" s="176"/>
      <c r="M80" s="125"/>
      <c r="N80" s="126"/>
      <c r="O80" s="127"/>
      <c r="P80" s="128"/>
      <c r="Q80" s="129">
        <f t="shared" si="5"/>
        <v>0</v>
      </c>
      <c r="R80" s="130"/>
      <c r="S80" s="124"/>
      <c r="T80" s="131"/>
      <c r="U80" s="124"/>
      <c r="V80" s="124"/>
      <c r="W80" s="130"/>
      <c r="X80" s="131"/>
      <c r="Y80" s="132"/>
      <c r="Z80" s="132"/>
      <c r="AA80" s="133"/>
      <c r="AB80" s="134"/>
      <c r="AC80" s="135"/>
      <c r="AD80" s="134"/>
      <c r="AE80" s="134"/>
      <c r="AF80" s="136" t="str">
        <f t="shared" si="6"/>
        <v/>
      </c>
      <c r="AG80" s="131"/>
      <c r="AH80" s="137"/>
      <c r="AI80" s="138"/>
      <c r="AJ80" s="133"/>
      <c r="AK80" s="134"/>
      <c r="AL80" s="135"/>
      <c r="AM80" s="134"/>
      <c r="AN80" s="134"/>
      <c r="AO80" s="136" t="str">
        <f t="shared" si="7"/>
        <v/>
      </c>
      <c r="AP80" s="131"/>
      <c r="AQ80" s="137"/>
      <c r="AR80" s="138"/>
      <c r="AS80" s="36"/>
    </row>
    <row r="81" spans="1:45" s="38" customFormat="1" ht="16">
      <c r="A81" s="46"/>
      <c r="B81" s="123" t="str">
        <f>IF(AND(C81&lt;&gt;"",C80&lt;&gt;C81),MAX($B$13:B80)+1,"")</f>
        <v/>
      </c>
      <c r="C81" s="106"/>
      <c r="D81" s="125"/>
      <c r="E81" s="125"/>
      <c r="F81" s="124"/>
      <c r="G81" s="108" t="str">
        <f t="shared" si="3"/>
        <v/>
      </c>
      <c r="H81" s="109" t="str">
        <f ca="1">IF($G81=1,IF(MIN(OFFSET($AA81,0,0,COUNTIF($C81:$C$82,$C81),1))=0,"",MIN(OFFSET($AA81,0,0,COUNTIF($C81:$C$82,$C81),1))),"")</f>
        <v/>
      </c>
      <c r="I81" s="110" t="str">
        <f ca="1">IF($G81=1,IF(SUMPRODUCT(MAX(($C$13:$C$82=$C81)*($K$13:$K$82)))=COUNTIF($C81:$C$82,C81)-COUNTBLANK(OFFSET($AF81,0,0,COUNTIF($C81:$C$82,$C81),1)),IF(MAX(OFFSET($AF81,0,0,COUNTIF($C81:$C$82,$C81),1))=0,"",MAX(OFFSET($AF81,0,0,COUNTIF($C81:$C$82,$C81),1))),""),"")</f>
        <v/>
      </c>
      <c r="J81" s="111" t="str">
        <f>IF(C81=0,"",IF(C80=C81,SUMPRODUCT(MAX(($C$11:$C80=C81)*($J$11:$J80))+1),1))</f>
        <v/>
      </c>
      <c r="K81" s="108">
        <f>IF(C81=0,0,IF(AND(OR(N81="入力・確認",N81="確認"),O81&lt;&gt;"不要"),IF(C80=C81,SUMPRODUCT(MAX(($C$12:$C80=C81)*($K$12:$K80))+1),1),0))</f>
        <v>0</v>
      </c>
      <c r="L81" s="176"/>
      <c r="M81" s="125"/>
      <c r="N81" s="126"/>
      <c r="O81" s="127"/>
      <c r="P81" s="128"/>
      <c r="Q81" s="129">
        <f t="shared" si="5"/>
        <v>0</v>
      </c>
      <c r="R81" s="130"/>
      <c r="S81" s="124"/>
      <c r="T81" s="131"/>
      <c r="U81" s="124"/>
      <c r="V81" s="124"/>
      <c r="W81" s="130"/>
      <c r="X81" s="131"/>
      <c r="Y81" s="132"/>
      <c r="Z81" s="132"/>
      <c r="AA81" s="133"/>
      <c r="AB81" s="134"/>
      <c r="AC81" s="135"/>
      <c r="AD81" s="134"/>
      <c r="AE81" s="134"/>
      <c r="AF81" s="136" t="str">
        <f t="shared" si="6"/>
        <v/>
      </c>
      <c r="AG81" s="131"/>
      <c r="AH81" s="137"/>
      <c r="AI81" s="138"/>
      <c r="AJ81" s="133"/>
      <c r="AK81" s="134"/>
      <c r="AL81" s="135"/>
      <c r="AM81" s="134"/>
      <c r="AN81" s="134"/>
      <c r="AO81" s="136" t="str">
        <f t="shared" si="7"/>
        <v/>
      </c>
      <c r="AP81" s="131"/>
      <c r="AQ81" s="137"/>
      <c r="AR81" s="138"/>
      <c r="AS81" s="36"/>
    </row>
    <row r="82" spans="1:45" s="38" customFormat="1" ht="16.5" thickBot="1">
      <c r="A82" s="46"/>
      <c r="B82" s="123" t="str">
        <f>IF(AND(C82&lt;&gt;"",C81&lt;&gt;C82),MAX($B$13:B81)+1,"")</f>
        <v/>
      </c>
      <c r="C82" s="106"/>
      <c r="D82" s="125"/>
      <c r="E82" s="125"/>
      <c r="F82" s="124"/>
      <c r="G82" s="108" t="str">
        <f t="shared" si="3"/>
        <v/>
      </c>
      <c r="H82" s="109" t="str">
        <f ca="1">IF($G82=1,IF(MIN(OFFSET($AA82,0,0,COUNTIF($C82:$C$82,$C82),1))=0,"",MIN(OFFSET($AA82,0,0,COUNTIF($C82:$C$82,$C82),1))),"")</f>
        <v/>
      </c>
      <c r="I82" s="110" t="str">
        <f ca="1">IF($G82=1,IF(SUMPRODUCT(MAX(($C$13:$C$82=$C82)*($K$13:$K$82)))=COUNTIF($C82:$C$82,C82)-COUNTBLANK(OFFSET($AF82,0,0,COUNTIF($C82:$C$82,$C82),1)),IF(MAX(OFFSET($AF82,0,0,COUNTIF($C82:$C$82,$C82),1))=0,"",MAX(OFFSET($AF82,0,0,COUNTIF($C82:$C$82,$C82),1))),""),"")</f>
        <v/>
      </c>
      <c r="J82" s="111" t="str">
        <f>IF(C82=0,"",IF(C81=C82,SUMPRODUCT(MAX(($C$11:$C81=C82)*($J$11:$J81))+1),1))</f>
        <v/>
      </c>
      <c r="K82" s="108">
        <f>IF(C82=0,0,IF(AND(OR(N82="入力・確認",N82="確認"),O82&lt;&gt;"不要"),IF(C81=C82,SUMPRODUCT(MAX(($C$12:$C81=C82)*($K$12:$K81))+1),1),0))</f>
        <v>0</v>
      </c>
      <c r="L82" s="176"/>
      <c r="M82" s="125"/>
      <c r="N82" s="126"/>
      <c r="O82" s="127"/>
      <c r="P82" s="128"/>
      <c r="Q82" s="129">
        <f t="shared" si="5"/>
        <v>0</v>
      </c>
      <c r="R82" s="130"/>
      <c r="S82" s="124"/>
      <c r="T82" s="131"/>
      <c r="U82" s="124"/>
      <c r="V82" s="124"/>
      <c r="W82" s="130"/>
      <c r="X82" s="131"/>
      <c r="Y82" s="132"/>
      <c r="Z82" s="132"/>
      <c r="AA82" s="133"/>
      <c r="AB82" s="134"/>
      <c r="AC82" s="135"/>
      <c r="AD82" s="134"/>
      <c r="AE82" s="134"/>
      <c r="AF82" s="136" t="str">
        <f t="shared" si="6"/>
        <v/>
      </c>
      <c r="AG82" s="131"/>
      <c r="AH82" s="137"/>
      <c r="AI82" s="138"/>
      <c r="AJ82" s="133"/>
      <c r="AK82" s="134"/>
      <c r="AL82" s="135"/>
      <c r="AM82" s="134"/>
      <c r="AN82" s="134"/>
      <c r="AO82" s="136" t="str">
        <f t="shared" si="7"/>
        <v/>
      </c>
      <c r="AP82" s="131"/>
      <c r="AQ82" s="137"/>
      <c r="AR82" s="138"/>
      <c r="AS82" s="36" t="s">
        <v>112</v>
      </c>
    </row>
    <row r="83" spans="1:45" s="38" customFormat="1" ht="16">
      <c r="A83" s="46"/>
      <c r="B83" s="175" t="s">
        <v>112</v>
      </c>
      <c r="C83" s="175" t="s">
        <v>112</v>
      </c>
      <c r="D83" s="175" t="s">
        <v>112</v>
      </c>
      <c r="E83" s="175" t="s">
        <v>112</v>
      </c>
      <c r="F83" s="175" t="s">
        <v>112</v>
      </c>
      <c r="G83" s="175" t="s">
        <v>112</v>
      </c>
      <c r="H83" s="175" t="s">
        <v>112</v>
      </c>
      <c r="I83" s="175" t="s">
        <v>112</v>
      </c>
      <c r="J83" s="175" t="s">
        <v>112</v>
      </c>
      <c r="K83" s="175" t="s">
        <v>112</v>
      </c>
      <c r="L83" s="175" t="s">
        <v>112</v>
      </c>
      <c r="M83" s="175"/>
      <c r="N83" s="175"/>
      <c r="O83" s="175"/>
      <c r="P83" s="175"/>
      <c r="Q83" s="175" t="s">
        <v>112</v>
      </c>
      <c r="R83" s="175" t="s">
        <v>112</v>
      </c>
      <c r="S83" s="175" t="s">
        <v>112</v>
      </c>
      <c r="T83" s="175" t="s">
        <v>112</v>
      </c>
      <c r="U83" s="175" t="s">
        <v>112</v>
      </c>
      <c r="V83" s="175" t="s">
        <v>112</v>
      </c>
      <c r="W83" s="175" t="s">
        <v>112</v>
      </c>
      <c r="X83" s="175" t="s">
        <v>112</v>
      </c>
      <c r="Y83" s="175" t="s">
        <v>112</v>
      </c>
      <c r="Z83" s="175" t="s">
        <v>112</v>
      </c>
      <c r="AA83" s="175" t="s">
        <v>112</v>
      </c>
      <c r="AB83" s="175" t="s">
        <v>112</v>
      </c>
      <c r="AC83" s="175" t="s">
        <v>112</v>
      </c>
      <c r="AD83" s="175" t="s">
        <v>112</v>
      </c>
      <c r="AE83" s="175" t="s">
        <v>112</v>
      </c>
      <c r="AF83" s="175" t="s">
        <v>112</v>
      </c>
      <c r="AG83" s="175" t="s">
        <v>112</v>
      </c>
      <c r="AH83" s="175" t="s">
        <v>112</v>
      </c>
      <c r="AI83" s="175" t="s">
        <v>112</v>
      </c>
      <c r="AJ83" s="175" t="s">
        <v>112</v>
      </c>
      <c r="AK83" s="175" t="s">
        <v>112</v>
      </c>
      <c r="AL83" s="175" t="s">
        <v>112</v>
      </c>
      <c r="AM83" s="175" t="s">
        <v>112</v>
      </c>
      <c r="AN83" s="175" t="s">
        <v>112</v>
      </c>
      <c r="AO83" s="175" t="s">
        <v>112</v>
      </c>
      <c r="AP83" s="175" t="s">
        <v>112</v>
      </c>
      <c r="AQ83" s="175" t="s">
        <v>112</v>
      </c>
      <c r="AR83" s="175" t="s">
        <v>112</v>
      </c>
    </row>
    <row r="84" spans="1:45" ht="16">
      <c r="A84" s="46"/>
    </row>
    <row r="85" spans="1:45" ht="16">
      <c r="A85" s="46"/>
    </row>
    <row r="86" spans="1:45" ht="16">
      <c r="A86" s="46"/>
    </row>
    <row r="87" spans="1:45" ht="16">
      <c r="A87" s="46"/>
    </row>
    <row r="88" spans="1:45" ht="16">
      <c r="A88" s="46"/>
    </row>
    <row r="89" spans="1:45" ht="16">
      <c r="A89" s="46"/>
    </row>
    <row r="90" spans="1:45" ht="16">
      <c r="A90" s="46"/>
    </row>
    <row r="91" spans="1:45" ht="16">
      <c r="A91" s="46"/>
    </row>
  </sheetData>
  <sheetProtection formatCells="0" formatColumns="0" formatRows="0" autoFilter="0"/>
  <customSheetViews>
    <customSheetView guid="{8D43A8EA-EA08-48E3-BF94-2BFB788816E3}" scale="70" showGridLines="0" showAutoFilter="1" hiddenColumns="1">
      <pane xSplit="4" ySplit="7" topLeftCell="X8" activePane="bottomRight" state="frozen"/>
      <selection pane="bottomRight" activeCell="AD13" sqref="AD13"/>
      <pageMargins left="0" right="0" top="0" bottom="0" header="0" footer="0"/>
      <pageSetup paperSize="9" scale="10" orientation="portrait" r:id="rId1"/>
      <autoFilter ref="A8:AO1097" xr:uid="{83A75124-2FC5-4BD3-A3AC-6D147D7D2196}"/>
    </customSheetView>
    <customSheetView guid="{3A6EB1D7-114C-4D3F-B278-A8983B092E89}" scale="85" showGridLines="0" showAutoFilter="1">
      <pane xSplit="4" ySplit="7" topLeftCell="E8" activePane="bottomRight" state="frozen"/>
      <selection pane="bottomRight" activeCell="E8" sqref="E8"/>
      <pageMargins left="0" right="0" top="0" bottom="0" header="0" footer="0"/>
      <pageSetup paperSize="9" scale="10" orientation="portrait" r:id="rId2"/>
      <autoFilter ref="A7:Z310" xr:uid="{7D1A7655-5B16-418A-BC3D-592AFA1F1C68}"/>
    </customSheetView>
    <customSheetView guid="{FE79E6DA-7B16-4839-8CFB-07958FC2E8D2}" scale="55" showGridLines="0" showAutoFilter="1">
      <pane xSplit="4" ySplit="7" topLeftCell="E179" activePane="bottomRight" state="frozen"/>
      <selection pane="bottomRight" activeCell="K191" sqref="K191"/>
      <pageMargins left="0" right="0" top="0" bottom="0" header="0" footer="0"/>
      <pageSetup paperSize="9" scale="10" orientation="portrait" r:id="rId3"/>
      <autoFilter ref="A7:Z310" xr:uid="{7457B6E4-7245-4C25-8519-AAA4C93E50A8}"/>
    </customSheetView>
    <customSheetView guid="{9DD2208F-4C44-4913-8171-810057626EC5}" scale="85" showPageBreaks="1" showGridLines="0" printArea="1" showAutoFilter="1">
      <pane xSplit="4" ySplit="7" topLeftCell="E92" activePane="bottomRight" state="frozen"/>
      <selection pane="bottomRight" activeCell="L105" sqref="L105"/>
      <pageMargins left="0" right="0" top="0" bottom="0" header="0" footer="0"/>
      <pageSetup paperSize="9" scale="10" orientation="portrait" r:id="rId4"/>
      <autoFilter ref="A7:Z310" xr:uid="{1DBFD582-0BB9-48F6-9D76-E36AB3D38845}"/>
    </customSheetView>
    <customSheetView guid="{6C2BAA77-ABB7-4A2D-BD29-85893334F5A3}" scale="85" showGridLines="0" showAutoFilter="1" hiddenColumns="1">
      <pane xSplit="12" ySplit="8" topLeftCell="AB159" activePane="bottomRight" state="frozen"/>
      <selection pane="bottomRight" activeCell="AF2" sqref="AF2"/>
      <pageMargins left="0" right="0" top="0" bottom="0" header="0" footer="0"/>
      <pageSetup paperSize="9" scale="10" orientation="portrait" r:id="rId5"/>
      <autoFilter ref="A8:AO1097" xr:uid="{417EEB5C-8ED8-423A-B497-94A93723CF3E}"/>
    </customSheetView>
    <customSheetView guid="{A142BDA9-87E4-4D28-8956-CACB0E560FD7}" scale="85" showPageBreaks="1" showGridLines="0" printArea="1" showAutoFilter="1" hiddenColumns="1">
      <pane xSplit="4" ySplit="7" topLeftCell="W182" activePane="bottomRight" state="frozen"/>
      <selection pane="bottomRight" activeCell="AB190" sqref="AB190"/>
      <pageMargins left="0" right="0" top="0" bottom="0" header="0" footer="0"/>
      <pageSetup paperSize="9" scale="10" orientation="portrait" r:id="rId6"/>
      <autoFilter ref="A8:AO1097" xr:uid="{5D63C44D-D312-4DFF-9791-6B83E2856D75}"/>
    </customSheetView>
    <customSheetView guid="{07871DE1-6DDD-41A1-BC3E-EE686D9B3091}" scale="70" showPageBreaks="1" showGridLines="0" printArea="1" showAutoFilter="1" hiddenColumns="1">
      <pane xSplit="4" ySplit="7" topLeftCell="E8" activePane="bottomRight" state="frozen"/>
      <selection pane="bottomRight" activeCell="B1" sqref="B1:C1"/>
      <pageMargins left="0" right="0" top="0" bottom="0" header="0" footer="0"/>
      <pageSetup paperSize="9" scale="10" orientation="portrait" r:id="rId7"/>
      <autoFilter ref="A8:AO1097" xr:uid="{FACCA625-F866-43C4-B81F-21DE5298FC66}"/>
    </customSheetView>
    <customSheetView guid="{7F6D31C6-7E2C-4B29-867B-55EBA4D25780}" scale="70" showPageBreaks="1" showGridLines="0" printArea="1" showAutoFilter="1" hiddenColumns="1">
      <pane xSplit="4" ySplit="7" topLeftCell="U132" activePane="bottomRight" state="frozen"/>
      <selection pane="bottomRight" activeCell="AB146" sqref="AB146"/>
      <pageMargins left="0" right="0" top="0" bottom="0" header="0" footer="0"/>
      <pageSetup paperSize="9" scale="10" orientation="portrait" r:id="rId8"/>
      <autoFilter ref="A8:AO1097" xr:uid="{A7639B29-314C-42E1-8759-814A57B01483}"/>
    </customSheetView>
    <customSheetView guid="{A0FC786A-8DCE-4049-A0E0-92B8CFB0DE4D}" scale="70" showPageBreaks="1" showGridLines="0" printArea="1" showAutoFilter="1" hiddenColumns="1">
      <pane xSplit="12" ySplit="8" topLeftCell="M9" activePane="bottomRight" state="frozen"/>
      <selection pane="bottomRight" activeCell="M9" sqref="M9"/>
      <pageMargins left="0" right="0" top="0" bottom="0" header="0" footer="0"/>
      <pageSetup paperSize="9" scale="10" orientation="portrait" r:id="rId9"/>
      <autoFilter ref="A8:AO1097" xr:uid="{24358712-D48C-4054-9ECC-5DEB9AE2E05C}"/>
    </customSheetView>
    <customSheetView guid="{9AF22A4D-4E31-4B78-9592-FFE6AADDDF54}" scale="70" showPageBreaks="1" showGridLines="0" printArea="1" showAutoFilter="1" hiddenColumns="1">
      <pane xSplit="4" ySplit="7" topLeftCell="X185" activePane="bottomRight" state="frozen"/>
      <selection pane="bottomRight" activeCell="X200" sqref="X200"/>
      <pageMargins left="0" right="0" top="0" bottom="0" header="0" footer="0"/>
      <pageSetup paperSize="9" scale="10" orientation="portrait" r:id="rId10"/>
      <autoFilter ref="A8:AO1097" xr:uid="{D280B464-2307-43F8-9608-189FDCF3AAAA}"/>
    </customSheetView>
  </customSheetViews>
  <mergeCells count="54">
    <mergeCell ref="AL9:AL11"/>
    <mergeCell ref="AM9:AM11"/>
    <mergeCell ref="AJ8:AR8"/>
    <mergeCell ref="AF9:AF11"/>
    <mergeCell ref="AG9:AG11"/>
    <mergeCell ref="AH9:AH11"/>
    <mergeCell ref="AI9:AI11"/>
    <mergeCell ref="AN9:AN11"/>
    <mergeCell ref="AO9:AO11"/>
    <mergeCell ref="AP9:AP11"/>
    <mergeCell ref="AQ9:AQ11"/>
    <mergeCell ref="AR9:AR11"/>
    <mergeCell ref="Z9:Z11"/>
    <mergeCell ref="R9:R11"/>
    <mergeCell ref="AA8:AI8"/>
    <mergeCell ref="AJ9:AJ11"/>
    <mergeCell ref="AK9:AK11"/>
    <mergeCell ref="AA9:AA11"/>
    <mergeCell ref="AB9:AB11"/>
    <mergeCell ref="AC9:AC11"/>
    <mergeCell ref="AD9:AD11"/>
    <mergeCell ref="AE9:AE11"/>
    <mergeCell ref="X9:X11"/>
    <mergeCell ref="W9:W11"/>
    <mergeCell ref="R8:V8"/>
    <mergeCell ref="W8:Z8"/>
    <mergeCell ref="Y9:Y11"/>
    <mergeCell ref="V9:V11"/>
    <mergeCell ref="B1:C1"/>
    <mergeCell ref="F9:F11"/>
    <mergeCell ref="B9:B11"/>
    <mergeCell ref="C9:C11"/>
    <mergeCell ref="E9:E11"/>
    <mergeCell ref="B2:C2"/>
    <mergeCell ref="B3:C3"/>
    <mergeCell ref="B4:C4"/>
    <mergeCell ref="B5:C5"/>
    <mergeCell ref="B6:C6"/>
    <mergeCell ref="B7:C7"/>
    <mergeCell ref="D9:D11"/>
    <mergeCell ref="S9:S11"/>
    <mergeCell ref="T9:T11"/>
    <mergeCell ref="U9:U11"/>
    <mergeCell ref="G9:G11"/>
    <mergeCell ref="Q9:Q11"/>
    <mergeCell ref="P9:P11"/>
    <mergeCell ref="O9:O11"/>
    <mergeCell ref="M9:M11"/>
    <mergeCell ref="J9:J11"/>
    <mergeCell ref="I9:I11"/>
    <mergeCell ref="H9:H11"/>
    <mergeCell ref="L9:L11"/>
    <mergeCell ref="N9:N11"/>
    <mergeCell ref="K9:K11"/>
  </mergeCells>
  <phoneticPr fontId="6"/>
  <conditionalFormatting sqref="B10:F12 B13:D20">
    <cfRule type="expression" dxfId="21" priority="67" stopIfTrue="1">
      <formula>$C10=OFFSET($C10,-1,0)</formula>
    </cfRule>
  </conditionalFormatting>
  <conditionalFormatting sqref="B21:F22">
    <cfRule type="expression" dxfId="20" priority="42" stopIfTrue="1">
      <formula>$C21=OFFSET($C21,-1,0)</formula>
    </cfRule>
  </conditionalFormatting>
  <conditionalFormatting sqref="B23:F82">
    <cfRule type="expression" dxfId="19" priority="49" stopIfTrue="1">
      <formula>$C23=OFFSET($C23,-1,0)</formula>
    </cfRule>
  </conditionalFormatting>
  <conditionalFormatting sqref="B21:L26">
    <cfRule type="expression" dxfId="18" priority="41" stopIfTrue="1">
      <formula>$C21&lt;&gt;OFFSET($C21,-1,0)</formula>
    </cfRule>
  </conditionalFormatting>
  <conditionalFormatting sqref="B10:AR12 B13:D20">
    <cfRule type="expression" dxfId="17" priority="66" stopIfTrue="1">
      <formula>$C10&lt;&gt;OFFSET($C10,-1,0)</formula>
    </cfRule>
  </conditionalFormatting>
  <conditionalFormatting sqref="B27:AR40 B41:S41 B42:AR82">
    <cfRule type="expression" dxfId="16" priority="48" stopIfTrue="1">
      <formula>$C27&lt;&gt;OFFSET($C27,-1,0)</formula>
    </cfRule>
  </conditionalFormatting>
  <conditionalFormatting sqref="C10:C82">
    <cfRule type="expression" dxfId="15" priority="40" stopIfTrue="1">
      <formula>$C10=OFFSET($C10,-1,0)</formula>
    </cfRule>
  </conditionalFormatting>
  <conditionalFormatting sqref="C21:C26">
    <cfRule type="expression" dxfId="14" priority="9" stopIfTrue="1">
      <formula>$C21&lt;&gt;OFFSET($C21,-1,0)</formula>
    </cfRule>
    <cfRule type="expression" dxfId="13" priority="10" stopIfTrue="1">
      <formula>$C21=OFFSET($C21,-1,0)</formula>
    </cfRule>
    <cfRule type="expression" dxfId="12" priority="11" stopIfTrue="1">
      <formula>$C21&lt;&gt;OFFSET($C21,-1,0)</formula>
    </cfRule>
    <cfRule type="expression" dxfId="11" priority="12" stopIfTrue="1">
      <formula>$C21=OFFSET($C21,-1,0)</formula>
    </cfRule>
  </conditionalFormatting>
  <conditionalFormatting sqref="C21:C27">
    <cfRule type="expression" dxfId="10" priority="13" stopIfTrue="1">
      <formula>$C21&lt;&gt;OFFSET($C21,-1,0)</formula>
    </cfRule>
    <cfRule type="expression" dxfId="9" priority="14" stopIfTrue="1">
      <formula>$C21=OFFSET($C21,-1,0)</formula>
    </cfRule>
  </conditionalFormatting>
  <conditionalFormatting sqref="E13:F20">
    <cfRule type="expression" dxfId="8" priority="39" stopIfTrue="1">
      <formula>$C13=OFFSET($C13,-1,0)</formula>
    </cfRule>
  </conditionalFormatting>
  <conditionalFormatting sqref="E13:L20">
    <cfRule type="expression" dxfId="7" priority="38" stopIfTrue="1">
      <formula>$C13&lt;&gt;OFFSET($C13,-1,0)</formula>
    </cfRule>
  </conditionalFormatting>
  <conditionalFormatting sqref="H10:AR82">
    <cfRule type="expression" dxfId="6" priority="3" stopIfTrue="1">
      <formula>$O10="不要"</formula>
    </cfRule>
  </conditionalFormatting>
  <conditionalFormatting sqref="M13:AR26">
    <cfRule type="expression" dxfId="5" priority="5" stopIfTrue="1">
      <formula>$C13&lt;&gt;OFFSET($C13,-1,0)</formula>
    </cfRule>
  </conditionalFormatting>
  <conditionalFormatting sqref="T27:Z28">
    <cfRule type="expression" dxfId="4" priority="1" stopIfTrue="1">
      <formula>$O27="不要"</formula>
    </cfRule>
  </conditionalFormatting>
  <conditionalFormatting sqref="Y27:Z28">
    <cfRule type="expression" dxfId="3" priority="2" stopIfTrue="1">
      <formula>$C27&lt;&gt;OFFSET($C27,-1,0)</formula>
    </cfRule>
  </conditionalFormatting>
  <conditionalFormatting sqref="Y41:AR41">
    <cfRule type="expression" dxfId="2" priority="24" stopIfTrue="1">
      <formula>$C41&lt;&gt;OFFSET($C41,-1,0)</formula>
    </cfRule>
  </conditionalFormatting>
  <dataValidations count="3">
    <dataValidation type="list" allowBlank="1" showInputMessage="1" showErrorMessage="1" sqref="AN13:AN82 AE13:AE82" xr:uid="{00000000-0002-0000-0200-000000000000}">
      <formula1>"OK,NG"</formula1>
    </dataValidation>
    <dataValidation type="list" allowBlank="1" sqref="F13:F82" xr:uid="{00000000-0002-0000-0200-000001000000}">
      <formula1>INDIRECT($D$1)</formula1>
    </dataValidation>
    <dataValidation type="list" allowBlank="1" showInputMessage="1" showErrorMessage="1" sqref="O13:O82" xr:uid="{00000000-0002-0000-0200-000002000000}">
      <formula1>"不要"</formula1>
    </dataValidation>
  </dataValidations>
  <pageMargins left="0.7" right="0.7" top="0.75" bottom="0.75" header="0.3" footer="0.3"/>
  <pageSetup paperSize="9" scale="10" orientation="portrait" r:id="rId11"/>
  <drawing r:id="rId12"/>
  <legacyDrawing r:id="rId13"/>
  <mc:AlternateContent xmlns:mc="http://schemas.openxmlformats.org/markup-compatibility/2006">
    <mc:Choice Requires="x14">
      <controls>
        <mc:AlternateContent xmlns:mc="http://schemas.openxmlformats.org/markup-compatibility/2006">
          <mc:Choice Requires="x14">
            <control shapeId="2050" r:id="rId14" name="Button 2">
              <controlPr defaultSize="0" print="0" autoFill="0" autoPict="0" macro="[0]!SetFormatCondition">
                <anchor moveWithCells="1" sizeWithCells="1">
                  <from>
                    <xdr:col>4</xdr:col>
                    <xdr:colOff>431800</xdr:colOff>
                    <xdr:row>0</xdr:row>
                    <xdr:rowOff>133350</xdr:rowOff>
                  </from>
                  <to>
                    <xdr:col>4</xdr:col>
                    <xdr:colOff>2514600</xdr:colOff>
                    <xdr:row>3</xdr:row>
                    <xdr:rowOff>12700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3000000}">
          <x14:formula1>
            <xm:f>マスタ!$C$14:$C$15</xm:f>
          </x14:formula1>
          <xm:sqref>L13:L82</xm:sqref>
        </x14:dataValidation>
        <x14:dataValidation type="list" allowBlank="1" showInputMessage="1" showErrorMessage="1" xr:uid="{00000000-0002-0000-0200-000004000000}">
          <x14:formula1>
            <xm:f>マスタ!$B$14:$B$19</xm:f>
          </x14:formula1>
          <xm:sqref>N13:N82</xm:sqref>
        </x14:dataValidation>
        <x14:dataValidation type="list" allowBlank="1" showInputMessage="1" showErrorMessage="1" xr:uid="{00000000-0002-0000-0200-000005000000}">
          <x14:formula1>
            <xm:f>マスタ!$A$14:$A$143</xm:f>
          </x14:formula1>
          <xm:sqref>W42:W82 W29:W40</xm:sqref>
        </x14:dataValidation>
        <x14:dataValidation type="list" allowBlank="1" showInputMessage="1" showErrorMessage="1" xr:uid="{00000000-0002-0000-0200-000006000000}">
          <x14:formula1>
            <xm:f>マスタ!#REF!</xm:f>
          </x14:formula1>
          <xm:sqref>W13:W26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41"/>
  <sheetViews>
    <sheetView topLeftCell="A33" workbookViewId="0">
      <selection activeCell="A38" sqref="A38"/>
    </sheetView>
  </sheetViews>
  <sheetFormatPr defaultColWidth="9" defaultRowHeight="18"/>
  <cols>
    <col min="1" max="5" width="9" style="202"/>
    <col min="6" max="7" width="23.54296875" style="202" bestFit="1" customWidth="1"/>
    <col min="8" max="16384" width="9" style="202"/>
  </cols>
  <sheetData>
    <row r="1" spans="1:9">
      <c r="A1" s="201" t="s">
        <v>196</v>
      </c>
    </row>
    <row r="3" spans="1:9">
      <c r="A3" s="202" t="s">
        <v>197</v>
      </c>
    </row>
    <row r="4" spans="1:9">
      <c r="A4" s="203" t="s">
        <v>198</v>
      </c>
    </row>
    <row r="6" spans="1:9" s="205" customFormat="1" ht="54">
      <c r="A6" s="204" t="s">
        <v>199</v>
      </c>
      <c r="B6" s="204" t="s">
        <v>200</v>
      </c>
      <c r="C6" s="204" t="s">
        <v>201</v>
      </c>
      <c r="D6" s="204" t="s">
        <v>202</v>
      </c>
      <c r="E6" s="204" t="s">
        <v>203</v>
      </c>
      <c r="F6" s="204" t="s">
        <v>204</v>
      </c>
      <c r="G6" s="204" t="s">
        <v>205</v>
      </c>
      <c r="H6" s="204" t="s">
        <v>206</v>
      </c>
      <c r="I6" s="204" t="s">
        <v>207</v>
      </c>
    </row>
    <row r="7" spans="1:9" s="205" customFormat="1">
      <c r="A7" s="206" t="s">
        <v>208</v>
      </c>
      <c r="B7" s="206" t="s">
        <v>209</v>
      </c>
      <c r="C7" s="207">
        <v>1</v>
      </c>
      <c r="D7" s="207">
        <v>21</v>
      </c>
      <c r="E7" s="207">
        <v>1</v>
      </c>
      <c r="F7" s="208">
        <v>44340.520057870373</v>
      </c>
      <c r="G7" s="208">
        <v>44340.520057870373</v>
      </c>
      <c r="H7" s="207">
        <v>0</v>
      </c>
      <c r="I7" s="206" t="s">
        <v>210</v>
      </c>
    </row>
    <row r="8" spans="1:9" s="205" customFormat="1">
      <c r="A8" s="206" t="s">
        <v>208</v>
      </c>
      <c r="B8" s="206" t="s">
        <v>209</v>
      </c>
      <c r="C8" s="207">
        <v>1</v>
      </c>
      <c r="D8" s="207">
        <v>24</v>
      </c>
      <c r="E8" s="207">
        <v>1</v>
      </c>
      <c r="F8" s="208">
        <v>44340.520057870373</v>
      </c>
      <c r="G8" s="208">
        <v>44340.520057870373</v>
      </c>
      <c r="H8" s="207">
        <v>0</v>
      </c>
      <c r="I8" s="206" t="s">
        <v>210</v>
      </c>
    </row>
    <row r="9" spans="1:9" s="205" customFormat="1">
      <c r="A9" s="206" t="s">
        <v>208</v>
      </c>
      <c r="B9" s="206" t="s">
        <v>209</v>
      </c>
      <c r="C9" s="207">
        <v>1</v>
      </c>
      <c r="D9" s="207">
        <v>27</v>
      </c>
      <c r="E9" s="207">
        <v>1</v>
      </c>
      <c r="F9" s="208">
        <v>44340.520057870373</v>
      </c>
      <c r="G9" s="208">
        <v>44340.520057870373</v>
      </c>
      <c r="H9" s="207">
        <v>0</v>
      </c>
      <c r="I9" s="206" t="s">
        <v>210</v>
      </c>
    </row>
    <row r="10" spans="1:9" s="205" customFormat="1">
      <c r="A10" s="206" t="s">
        <v>208</v>
      </c>
      <c r="B10" s="206" t="s">
        <v>209</v>
      </c>
      <c r="C10" s="207">
        <v>1</v>
      </c>
      <c r="D10" s="207">
        <v>30</v>
      </c>
      <c r="E10" s="207">
        <v>1</v>
      </c>
      <c r="F10" s="208">
        <v>44340.520057870373</v>
      </c>
      <c r="G10" s="208">
        <v>44340.520057870373</v>
      </c>
      <c r="H10" s="207">
        <v>0</v>
      </c>
      <c r="I10" s="206" t="s">
        <v>210</v>
      </c>
    </row>
    <row r="11" spans="1:9" s="205" customFormat="1">
      <c r="A11" s="206" t="s">
        <v>211</v>
      </c>
      <c r="B11" s="206" t="s">
        <v>209</v>
      </c>
      <c r="C11" s="207">
        <v>1</v>
      </c>
      <c r="D11" s="207">
        <v>1</v>
      </c>
      <c r="E11" s="207">
        <v>1</v>
      </c>
      <c r="F11" s="208">
        <v>44340.520057870373</v>
      </c>
      <c r="G11" s="208">
        <v>44340.520057870373</v>
      </c>
      <c r="H11" s="207">
        <v>0</v>
      </c>
      <c r="I11" s="206" t="s">
        <v>210</v>
      </c>
    </row>
    <row r="12" spans="1:9" s="205" customFormat="1">
      <c r="A12" s="206" t="s">
        <v>212</v>
      </c>
      <c r="B12" s="206" t="s">
        <v>209</v>
      </c>
      <c r="C12" s="207">
        <v>1</v>
      </c>
      <c r="D12" s="207">
        <v>1</v>
      </c>
      <c r="E12" s="207">
        <v>1</v>
      </c>
      <c r="F12" s="208">
        <v>44340.523541666669</v>
      </c>
      <c r="G12" s="208">
        <v>44340.523541666669</v>
      </c>
      <c r="H12" s="207">
        <v>0</v>
      </c>
      <c r="I12" s="206" t="s">
        <v>210</v>
      </c>
    </row>
    <row r="13" spans="1:9" s="205" customFormat="1">
      <c r="A13" s="209" t="s">
        <v>213</v>
      </c>
      <c r="B13" s="209" t="s">
        <v>209</v>
      </c>
      <c r="C13" s="210">
        <v>1</v>
      </c>
      <c r="D13" s="210">
        <v>10</v>
      </c>
      <c r="E13" s="210">
        <v>999</v>
      </c>
      <c r="F13" s="211">
        <v>44340.523541666669</v>
      </c>
      <c r="G13" s="211">
        <v>44340.523541666669</v>
      </c>
      <c r="H13" s="210">
        <v>0</v>
      </c>
      <c r="I13" s="209" t="s">
        <v>210</v>
      </c>
    </row>
    <row r="14" spans="1:9" s="205" customFormat="1">
      <c r="A14" s="206" t="s">
        <v>213</v>
      </c>
      <c r="B14" s="206" t="s">
        <v>209</v>
      </c>
      <c r="C14" s="207">
        <v>1</v>
      </c>
      <c r="D14" s="207">
        <v>20</v>
      </c>
      <c r="E14" s="207">
        <v>999</v>
      </c>
      <c r="F14" s="208">
        <v>44340.523541666669</v>
      </c>
      <c r="G14" s="208">
        <v>44340.523541666669</v>
      </c>
      <c r="H14" s="207">
        <v>0</v>
      </c>
      <c r="I14" s="206" t="s">
        <v>210</v>
      </c>
    </row>
    <row r="15" spans="1:9" s="205" customFormat="1">
      <c r="A15" s="206" t="s">
        <v>213</v>
      </c>
      <c r="B15" s="206" t="s">
        <v>209</v>
      </c>
      <c r="C15" s="207">
        <v>1</v>
      </c>
      <c r="D15" s="207">
        <v>30</v>
      </c>
      <c r="E15" s="207">
        <v>999</v>
      </c>
      <c r="F15" s="208">
        <v>44340.523541666669</v>
      </c>
      <c r="G15" s="208">
        <v>44340.523541666669</v>
      </c>
      <c r="H15" s="207">
        <v>0</v>
      </c>
      <c r="I15" s="206" t="s">
        <v>210</v>
      </c>
    </row>
    <row r="16" spans="1:9" s="205" customFormat="1">
      <c r="A16" s="206" t="s">
        <v>213</v>
      </c>
      <c r="B16" s="206" t="s">
        <v>209</v>
      </c>
      <c r="C16" s="207">
        <v>1</v>
      </c>
      <c r="D16" s="207">
        <v>40</v>
      </c>
      <c r="E16" s="207">
        <v>999</v>
      </c>
      <c r="F16" s="208">
        <v>44340.523541666669</v>
      </c>
      <c r="G16" s="208">
        <v>44340.523541666669</v>
      </c>
      <c r="H16" s="207">
        <v>0</v>
      </c>
      <c r="I16" s="206" t="s">
        <v>210</v>
      </c>
    </row>
    <row r="17" spans="1:58" s="205" customFormat="1">
      <c r="A17" s="206" t="s">
        <v>213</v>
      </c>
      <c r="B17" s="206" t="s">
        <v>209</v>
      </c>
      <c r="C17" s="207">
        <v>1</v>
      </c>
      <c r="D17" s="207">
        <v>50</v>
      </c>
      <c r="E17" s="207">
        <v>999</v>
      </c>
      <c r="F17" s="208">
        <v>44340.523541666669</v>
      </c>
      <c r="G17" s="208">
        <v>44340.523541666669</v>
      </c>
      <c r="H17" s="207">
        <v>0</v>
      </c>
      <c r="I17" s="206" t="s">
        <v>210</v>
      </c>
    </row>
    <row r="18" spans="1:58" s="205" customFormat="1">
      <c r="A18" s="206" t="s">
        <v>213</v>
      </c>
      <c r="B18" s="206" t="s">
        <v>209</v>
      </c>
      <c r="C18" s="207">
        <v>1</v>
      </c>
      <c r="D18" s="207">
        <v>60</v>
      </c>
      <c r="E18" s="207">
        <v>999</v>
      </c>
      <c r="F18" s="208">
        <v>44340.523541666669</v>
      </c>
      <c r="G18" s="208">
        <v>44340.523541666669</v>
      </c>
      <c r="H18" s="207">
        <v>0</v>
      </c>
      <c r="I18" s="206" t="s">
        <v>210</v>
      </c>
    </row>
    <row r="19" spans="1:58" s="205" customFormat="1">
      <c r="A19" s="206" t="s">
        <v>213</v>
      </c>
      <c r="B19" s="206" t="s">
        <v>209</v>
      </c>
      <c r="C19" s="207">
        <v>1</v>
      </c>
      <c r="D19" s="207">
        <v>70</v>
      </c>
      <c r="E19" s="207">
        <v>999</v>
      </c>
      <c r="F19" s="208">
        <v>44340.523541666669</v>
      </c>
      <c r="G19" s="208">
        <v>44340.523541666669</v>
      </c>
      <c r="H19" s="207">
        <v>0</v>
      </c>
      <c r="I19" s="206" t="s">
        <v>210</v>
      </c>
    </row>
    <row r="20" spans="1:58" s="205" customFormat="1">
      <c r="A20" s="206" t="s">
        <v>213</v>
      </c>
      <c r="B20" s="206" t="s">
        <v>209</v>
      </c>
      <c r="C20" s="207">
        <v>1</v>
      </c>
      <c r="D20" s="207">
        <v>80</v>
      </c>
      <c r="E20" s="207">
        <v>999</v>
      </c>
      <c r="F20" s="208">
        <v>44340.523541666669</v>
      </c>
      <c r="G20" s="208">
        <v>44340.523541666669</v>
      </c>
      <c r="H20" s="207">
        <v>0</v>
      </c>
      <c r="I20" s="206" t="s">
        <v>210</v>
      </c>
    </row>
    <row r="21" spans="1:58" s="205" customFormat="1">
      <c r="A21" s="206" t="s">
        <v>214</v>
      </c>
      <c r="B21" s="206" t="s">
        <v>209</v>
      </c>
      <c r="C21" s="207">
        <v>1</v>
      </c>
      <c r="D21" s="207">
        <v>1</v>
      </c>
      <c r="E21" s="207">
        <v>1</v>
      </c>
      <c r="F21" s="208">
        <v>44607.68109953704</v>
      </c>
      <c r="G21" s="208">
        <v>44607.68109953704</v>
      </c>
      <c r="H21" s="207">
        <v>0</v>
      </c>
      <c r="I21" s="206" t="s">
        <v>215</v>
      </c>
    </row>
    <row r="24" spans="1:58">
      <c r="A24" s="202" t="s">
        <v>216</v>
      </c>
    </row>
    <row r="25" spans="1:58">
      <c r="A25" s="202" t="s">
        <v>217</v>
      </c>
    </row>
    <row r="26" spans="1:58">
      <c r="A26" s="212" t="s">
        <v>218</v>
      </c>
    </row>
    <row r="28" spans="1:58" ht="39">
      <c r="A28" s="213" t="s">
        <v>219</v>
      </c>
      <c r="B28" s="213" t="s">
        <v>220</v>
      </c>
      <c r="C28" s="213" t="s">
        <v>221</v>
      </c>
      <c r="D28" s="213" t="s">
        <v>222</v>
      </c>
      <c r="E28" s="213" t="s">
        <v>223</v>
      </c>
      <c r="F28" s="213" t="s">
        <v>224</v>
      </c>
      <c r="G28" s="213" t="s">
        <v>225</v>
      </c>
      <c r="H28" s="213" t="s">
        <v>202</v>
      </c>
      <c r="I28" s="213" t="s">
        <v>203</v>
      </c>
      <c r="J28" s="213" t="s">
        <v>226</v>
      </c>
      <c r="K28" s="213" t="s">
        <v>227</v>
      </c>
      <c r="L28" s="213" t="s">
        <v>228</v>
      </c>
      <c r="M28" s="213" t="s">
        <v>229</v>
      </c>
      <c r="N28" s="213" t="s">
        <v>230</v>
      </c>
      <c r="O28" s="213" t="s">
        <v>199</v>
      </c>
      <c r="P28" s="213" t="s">
        <v>200</v>
      </c>
      <c r="Q28" s="213" t="s">
        <v>201</v>
      </c>
      <c r="R28" s="213" t="s">
        <v>231</v>
      </c>
      <c r="S28" s="213" t="s">
        <v>232</v>
      </c>
      <c r="T28" s="213" t="s">
        <v>233</v>
      </c>
      <c r="U28" s="213" t="s">
        <v>234</v>
      </c>
      <c r="V28" s="213" t="s">
        <v>235</v>
      </c>
      <c r="W28" s="213" t="s">
        <v>236</v>
      </c>
      <c r="X28" s="213" t="s">
        <v>237</v>
      </c>
      <c r="Y28" s="213" t="s">
        <v>238</v>
      </c>
      <c r="Z28" s="213" t="s">
        <v>239</v>
      </c>
      <c r="AA28" s="213" t="s">
        <v>240</v>
      </c>
      <c r="AB28" s="213" t="s">
        <v>241</v>
      </c>
      <c r="AC28" s="213" t="s">
        <v>242</v>
      </c>
      <c r="AD28" s="213" t="s">
        <v>243</v>
      </c>
      <c r="AE28" s="213" t="s">
        <v>244</v>
      </c>
      <c r="AF28" s="213" t="s">
        <v>245</v>
      </c>
      <c r="AG28" s="213" t="s">
        <v>246</v>
      </c>
      <c r="AH28" s="213" t="s">
        <v>247</v>
      </c>
      <c r="AI28" s="213" t="s">
        <v>248</v>
      </c>
      <c r="AJ28" s="213" t="s">
        <v>249</v>
      </c>
      <c r="AK28" s="213" t="s">
        <v>250</v>
      </c>
      <c r="AL28" s="213" t="s">
        <v>251</v>
      </c>
      <c r="AM28" s="213" t="s">
        <v>252</v>
      </c>
      <c r="AN28" s="213" t="s">
        <v>204</v>
      </c>
      <c r="AO28" s="213" t="s">
        <v>205</v>
      </c>
      <c r="AP28" s="213" t="s">
        <v>206</v>
      </c>
      <c r="AQ28" s="213" t="s">
        <v>207</v>
      </c>
      <c r="AR28" s="213" t="s">
        <v>253</v>
      </c>
      <c r="AS28" s="213" t="s">
        <v>254</v>
      </c>
      <c r="AT28" s="213" t="s">
        <v>255</v>
      </c>
      <c r="AU28" s="213" t="s">
        <v>256</v>
      </c>
      <c r="AV28" s="213" t="s">
        <v>257</v>
      </c>
      <c r="AW28" s="213" t="s">
        <v>258</v>
      </c>
      <c r="AX28" s="213" t="s">
        <v>259</v>
      </c>
      <c r="AY28" s="213" t="s">
        <v>260</v>
      </c>
      <c r="AZ28" s="213" t="s">
        <v>261</v>
      </c>
      <c r="BA28" s="213" t="s">
        <v>262</v>
      </c>
      <c r="BB28" s="213" t="s">
        <v>263</v>
      </c>
      <c r="BC28" s="213" t="s">
        <v>264</v>
      </c>
      <c r="BD28" s="213" t="s">
        <v>265</v>
      </c>
      <c r="BE28" s="213" t="s">
        <v>266</v>
      </c>
      <c r="BF28" s="213" t="s">
        <v>267</v>
      </c>
    </row>
    <row r="29" spans="1:58">
      <c r="A29" s="214" t="s">
        <v>268</v>
      </c>
      <c r="B29" s="214" t="s">
        <v>269</v>
      </c>
      <c r="C29" s="214" t="s">
        <v>270</v>
      </c>
      <c r="D29" s="214" t="s">
        <v>271</v>
      </c>
      <c r="E29" s="214" t="s">
        <v>272</v>
      </c>
      <c r="F29" s="215">
        <v>5002</v>
      </c>
      <c r="G29" s="214" t="s">
        <v>273</v>
      </c>
      <c r="H29" s="215">
        <v>10</v>
      </c>
      <c r="I29" s="215">
        <v>999</v>
      </c>
      <c r="J29" s="215">
        <v>10</v>
      </c>
      <c r="K29" s="214" t="s">
        <v>274</v>
      </c>
      <c r="L29" s="216" t="s">
        <v>275</v>
      </c>
      <c r="M29" s="216" t="s">
        <v>275</v>
      </c>
      <c r="N29" s="214" t="s">
        <v>276</v>
      </c>
      <c r="O29" s="214" t="s">
        <v>213</v>
      </c>
      <c r="P29" s="214" t="s">
        <v>209</v>
      </c>
      <c r="Q29" s="215">
        <v>1</v>
      </c>
      <c r="R29" s="216" t="s">
        <v>275</v>
      </c>
      <c r="S29" s="214" t="s">
        <v>277</v>
      </c>
      <c r="T29" s="214" t="s">
        <v>278</v>
      </c>
      <c r="U29" s="214" t="s">
        <v>279</v>
      </c>
      <c r="V29" s="214" t="s">
        <v>280</v>
      </c>
      <c r="W29" s="214" t="s">
        <v>281</v>
      </c>
      <c r="X29" s="214" t="s">
        <v>273</v>
      </c>
      <c r="Y29" s="216" t="s">
        <v>275</v>
      </c>
      <c r="Z29" s="216" t="s">
        <v>275</v>
      </c>
      <c r="AA29" s="216" t="s">
        <v>275</v>
      </c>
      <c r="AB29" s="216" t="s">
        <v>275</v>
      </c>
      <c r="AC29" s="216" t="s">
        <v>275</v>
      </c>
      <c r="AD29" s="216" t="s">
        <v>275</v>
      </c>
      <c r="AE29" s="216" t="s">
        <v>275</v>
      </c>
      <c r="AF29" s="216" t="s">
        <v>275</v>
      </c>
      <c r="AG29" s="216" t="s">
        <v>275</v>
      </c>
      <c r="AH29" s="216" t="s">
        <v>275</v>
      </c>
      <c r="AI29" s="214" t="s">
        <v>281</v>
      </c>
      <c r="AJ29" s="216" t="s">
        <v>275</v>
      </c>
      <c r="AK29" s="216" t="s">
        <v>275</v>
      </c>
      <c r="AL29" s="216" t="s">
        <v>275</v>
      </c>
      <c r="AM29" s="216" t="s">
        <v>275</v>
      </c>
      <c r="AN29" s="217">
        <v>44418.575555555559</v>
      </c>
      <c r="AO29" s="217">
        <v>45189.417916666665</v>
      </c>
      <c r="AP29" s="215">
        <v>4</v>
      </c>
      <c r="AQ29" s="214" t="s">
        <v>282</v>
      </c>
      <c r="AR29" s="216" t="s">
        <v>275</v>
      </c>
      <c r="AS29" s="216" t="s">
        <v>275</v>
      </c>
      <c r="AT29" s="214" t="s">
        <v>283</v>
      </c>
      <c r="AU29" s="216" t="s">
        <v>275</v>
      </c>
      <c r="AV29" s="216" t="s">
        <v>275</v>
      </c>
      <c r="AW29" s="216" t="s">
        <v>275</v>
      </c>
      <c r="AX29" s="216" t="s">
        <v>275</v>
      </c>
      <c r="AY29" s="216" t="s">
        <v>275</v>
      </c>
      <c r="AZ29" s="216" t="s">
        <v>275</v>
      </c>
      <c r="BA29" s="216" t="s">
        <v>275</v>
      </c>
      <c r="BB29" s="216" t="s">
        <v>275</v>
      </c>
      <c r="BC29" s="216" t="s">
        <v>275</v>
      </c>
      <c r="BD29" s="214" t="s">
        <v>284</v>
      </c>
      <c r="BE29" s="216" t="s">
        <v>275</v>
      </c>
      <c r="BF29" s="216" t="s">
        <v>275</v>
      </c>
    </row>
    <row r="30" spans="1:58">
      <c r="A30" s="218" t="s">
        <v>285</v>
      </c>
      <c r="B30" s="218" t="s">
        <v>269</v>
      </c>
      <c r="C30" s="218" t="s">
        <v>286</v>
      </c>
      <c r="D30" s="218" t="s">
        <v>287</v>
      </c>
      <c r="E30" s="218" t="s">
        <v>272</v>
      </c>
      <c r="F30" s="219">
        <v>13</v>
      </c>
      <c r="G30" s="218" t="s">
        <v>273</v>
      </c>
      <c r="H30" s="219">
        <v>10</v>
      </c>
      <c r="I30" s="219">
        <v>999</v>
      </c>
      <c r="J30" s="219">
        <v>10</v>
      </c>
      <c r="K30" s="218" t="s">
        <v>274</v>
      </c>
      <c r="L30" s="220" t="s">
        <v>275</v>
      </c>
      <c r="M30" s="220" t="s">
        <v>275</v>
      </c>
      <c r="N30" s="218" t="s">
        <v>276</v>
      </c>
      <c r="O30" s="218" t="s">
        <v>213</v>
      </c>
      <c r="P30" s="218" t="s">
        <v>209</v>
      </c>
      <c r="Q30" s="219">
        <v>1</v>
      </c>
      <c r="R30" s="220" t="s">
        <v>275</v>
      </c>
      <c r="S30" s="218" t="s">
        <v>277</v>
      </c>
      <c r="T30" s="218" t="s">
        <v>278</v>
      </c>
      <c r="U30" s="218" t="s">
        <v>279</v>
      </c>
      <c r="V30" s="218" t="s">
        <v>280</v>
      </c>
      <c r="W30" s="218" t="s">
        <v>281</v>
      </c>
      <c r="X30" s="218" t="s">
        <v>273</v>
      </c>
      <c r="Y30" s="220" t="s">
        <v>275</v>
      </c>
      <c r="Z30" s="220" t="s">
        <v>275</v>
      </c>
      <c r="AA30" s="220" t="s">
        <v>275</v>
      </c>
      <c r="AB30" s="220" t="s">
        <v>275</v>
      </c>
      <c r="AC30" s="220" t="s">
        <v>275</v>
      </c>
      <c r="AD30" s="220" t="s">
        <v>275</v>
      </c>
      <c r="AE30" s="220" t="s">
        <v>275</v>
      </c>
      <c r="AF30" s="220" t="s">
        <v>275</v>
      </c>
      <c r="AG30" s="220" t="s">
        <v>275</v>
      </c>
      <c r="AH30" s="220" t="s">
        <v>275</v>
      </c>
      <c r="AI30" s="218" t="s">
        <v>281</v>
      </c>
      <c r="AJ30" s="220" t="s">
        <v>275</v>
      </c>
      <c r="AK30" s="220" t="s">
        <v>275</v>
      </c>
      <c r="AL30" s="220" t="s">
        <v>275</v>
      </c>
      <c r="AM30" s="220" t="s">
        <v>275</v>
      </c>
      <c r="AN30" s="221">
        <v>44806.127129629633</v>
      </c>
      <c r="AO30" s="221">
        <v>45496.697881944441</v>
      </c>
      <c r="AP30" s="219">
        <v>1</v>
      </c>
      <c r="AQ30" s="218" t="s">
        <v>288</v>
      </c>
      <c r="AR30" s="220" t="s">
        <v>275</v>
      </c>
      <c r="AS30" s="220" t="s">
        <v>275</v>
      </c>
      <c r="AT30" s="218" t="s">
        <v>289</v>
      </c>
      <c r="AU30" s="220" t="s">
        <v>275</v>
      </c>
      <c r="AV30" s="220" t="s">
        <v>275</v>
      </c>
      <c r="AW30" s="220" t="s">
        <v>275</v>
      </c>
      <c r="AX30" s="220" t="s">
        <v>275</v>
      </c>
      <c r="AY30" s="220" t="s">
        <v>275</v>
      </c>
      <c r="AZ30" s="220" t="s">
        <v>275</v>
      </c>
      <c r="BA30" s="220" t="s">
        <v>275</v>
      </c>
      <c r="BB30" s="220" t="s">
        <v>275</v>
      </c>
      <c r="BC30" s="220" t="s">
        <v>275</v>
      </c>
      <c r="BD30" s="220" t="s">
        <v>275</v>
      </c>
      <c r="BE30" s="220" t="s">
        <v>275</v>
      </c>
      <c r="BF30" s="220" t="s">
        <v>275</v>
      </c>
    </row>
    <row r="31" spans="1:58">
      <c r="A31" s="214" t="s">
        <v>290</v>
      </c>
      <c r="B31" s="214" t="s">
        <v>269</v>
      </c>
      <c r="C31" s="214" t="s">
        <v>291</v>
      </c>
      <c r="D31" s="214" t="s">
        <v>292</v>
      </c>
      <c r="E31" s="214" t="s">
        <v>272</v>
      </c>
      <c r="F31" s="215">
        <v>9011</v>
      </c>
      <c r="G31" s="214" t="s">
        <v>273</v>
      </c>
      <c r="H31" s="215">
        <v>10</v>
      </c>
      <c r="I31" s="215">
        <v>999</v>
      </c>
      <c r="J31" s="215">
        <v>10</v>
      </c>
      <c r="K31" s="214" t="s">
        <v>293</v>
      </c>
      <c r="L31" s="216" t="s">
        <v>275</v>
      </c>
      <c r="M31" s="216" t="s">
        <v>275</v>
      </c>
      <c r="N31" s="214" t="s">
        <v>276</v>
      </c>
      <c r="O31" s="214" t="s">
        <v>213</v>
      </c>
      <c r="P31" s="214" t="s">
        <v>209</v>
      </c>
      <c r="Q31" s="215">
        <v>1</v>
      </c>
      <c r="R31" s="216" t="s">
        <v>275</v>
      </c>
      <c r="S31" s="214" t="s">
        <v>277</v>
      </c>
      <c r="T31" s="214" t="s">
        <v>278</v>
      </c>
      <c r="U31" s="214" t="s">
        <v>279</v>
      </c>
      <c r="V31" s="214" t="s">
        <v>294</v>
      </c>
      <c r="W31" s="214" t="s">
        <v>281</v>
      </c>
      <c r="X31" s="214" t="s">
        <v>273</v>
      </c>
      <c r="Y31" s="216" t="s">
        <v>275</v>
      </c>
      <c r="Z31" s="216" t="s">
        <v>275</v>
      </c>
      <c r="AA31" s="216" t="s">
        <v>275</v>
      </c>
      <c r="AB31" s="216" t="s">
        <v>275</v>
      </c>
      <c r="AC31" s="216" t="s">
        <v>275</v>
      </c>
      <c r="AD31" s="216" t="s">
        <v>275</v>
      </c>
      <c r="AE31" s="216" t="s">
        <v>275</v>
      </c>
      <c r="AF31" s="216" t="s">
        <v>275</v>
      </c>
      <c r="AG31" s="216" t="s">
        <v>275</v>
      </c>
      <c r="AH31" s="216" t="s">
        <v>275</v>
      </c>
      <c r="AI31" s="214" t="s">
        <v>281</v>
      </c>
      <c r="AJ31" s="216" t="s">
        <v>275</v>
      </c>
      <c r="AK31" s="216" t="s">
        <v>275</v>
      </c>
      <c r="AL31" s="216" t="s">
        <v>275</v>
      </c>
      <c r="AM31" s="216" t="s">
        <v>275</v>
      </c>
      <c r="AN31" s="217">
        <v>44308.641585648147</v>
      </c>
      <c r="AO31" s="217">
        <v>44343.495706018519</v>
      </c>
      <c r="AP31" s="215">
        <v>1</v>
      </c>
      <c r="AQ31" s="214" t="s">
        <v>295</v>
      </c>
      <c r="AR31" s="216" t="s">
        <v>275</v>
      </c>
      <c r="AS31" s="216" t="s">
        <v>275</v>
      </c>
      <c r="AT31" s="214" t="s">
        <v>296</v>
      </c>
      <c r="AU31" s="216" t="s">
        <v>275</v>
      </c>
      <c r="AV31" s="216" t="s">
        <v>275</v>
      </c>
      <c r="AW31" s="216" t="s">
        <v>275</v>
      </c>
      <c r="AX31" s="216" t="s">
        <v>275</v>
      </c>
      <c r="AY31" s="216" t="s">
        <v>275</v>
      </c>
      <c r="AZ31" s="216" t="s">
        <v>275</v>
      </c>
      <c r="BA31" s="216" t="s">
        <v>275</v>
      </c>
      <c r="BB31" s="216" t="s">
        <v>275</v>
      </c>
      <c r="BC31" s="216" t="s">
        <v>275</v>
      </c>
      <c r="BD31" s="214" t="s">
        <v>277</v>
      </c>
      <c r="BE31" s="216" t="s">
        <v>275</v>
      </c>
      <c r="BF31" s="216" t="s">
        <v>275</v>
      </c>
    </row>
    <row r="32" spans="1:58">
      <c r="A32" s="214" t="s">
        <v>297</v>
      </c>
      <c r="B32" s="214" t="s">
        <v>269</v>
      </c>
      <c r="C32" s="214" t="s">
        <v>270</v>
      </c>
      <c r="D32" s="214" t="s">
        <v>271</v>
      </c>
      <c r="E32" s="214" t="s">
        <v>272</v>
      </c>
      <c r="F32" s="215">
        <v>5001</v>
      </c>
      <c r="G32" s="214" t="s">
        <v>273</v>
      </c>
      <c r="H32" s="215">
        <v>10</v>
      </c>
      <c r="I32" s="215">
        <v>999</v>
      </c>
      <c r="J32" s="215">
        <v>10</v>
      </c>
      <c r="K32" s="214" t="s">
        <v>298</v>
      </c>
      <c r="L32" s="216" t="s">
        <v>275</v>
      </c>
      <c r="M32" s="216" t="s">
        <v>275</v>
      </c>
      <c r="N32" s="214" t="s">
        <v>276</v>
      </c>
      <c r="O32" s="214" t="s">
        <v>213</v>
      </c>
      <c r="P32" s="214" t="s">
        <v>209</v>
      </c>
      <c r="Q32" s="215">
        <v>1</v>
      </c>
      <c r="R32" s="216" t="s">
        <v>275</v>
      </c>
      <c r="S32" s="214" t="s">
        <v>277</v>
      </c>
      <c r="T32" s="214" t="s">
        <v>278</v>
      </c>
      <c r="U32" s="214" t="s">
        <v>279</v>
      </c>
      <c r="V32" s="214" t="s">
        <v>294</v>
      </c>
      <c r="W32" s="214" t="s">
        <v>281</v>
      </c>
      <c r="X32" s="214" t="s">
        <v>273</v>
      </c>
      <c r="Y32" s="216" t="s">
        <v>275</v>
      </c>
      <c r="Z32" s="216" t="s">
        <v>275</v>
      </c>
      <c r="AA32" s="216" t="s">
        <v>275</v>
      </c>
      <c r="AB32" s="216" t="s">
        <v>275</v>
      </c>
      <c r="AC32" s="216" t="s">
        <v>275</v>
      </c>
      <c r="AD32" s="216" t="s">
        <v>275</v>
      </c>
      <c r="AE32" s="216" t="s">
        <v>275</v>
      </c>
      <c r="AF32" s="216" t="s">
        <v>275</v>
      </c>
      <c r="AG32" s="216" t="s">
        <v>275</v>
      </c>
      <c r="AH32" s="216" t="s">
        <v>275</v>
      </c>
      <c r="AI32" s="214" t="s">
        <v>281</v>
      </c>
      <c r="AJ32" s="216" t="s">
        <v>275</v>
      </c>
      <c r="AK32" s="216" t="s">
        <v>275</v>
      </c>
      <c r="AL32" s="216" t="s">
        <v>275</v>
      </c>
      <c r="AM32" s="216" t="s">
        <v>275</v>
      </c>
      <c r="AN32" s="217">
        <v>44330.624328703707</v>
      </c>
      <c r="AO32" s="217">
        <v>45190.614999999998</v>
      </c>
      <c r="AP32" s="215">
        <v>3</v>
      </c>
      <c r="AQ32" s="214" t="s">
        <v>299</v>
      </c>
      <c r="AR32" s="216" t="s">
        <v>275</v>
      </c>
      <c r="AS32" s="216" t="s">
        <v>275</v>
      </c>
      <c r="AT32" s="214" t="s">
        <v>300</v>
      </c>
      <c r="AU32" s="216" t="s">
        <v>275</v>
      </c>
      <c r="AV32" s="216" t="s">
        <v>275</v>
      </c>
      <c r="AW32" s="216" t="s">
        <v>275</v>
      </c>
      <c r="AX32" s="216" t="s">
        <v>275</v>
      </c>
      <c r="AY32" s="216" t="s">
        <v>275</v>
      </c>
      <c r="AZ32" s="216" t="s">
        <v>275</v>
      </c>
      <c r="BA32" s="216" t="s">
        <v>275</v>
      </c>
      <c r="BB32" s="216" t="s">
        <v>275</v>
      </c>
      <c r="BC32" s="216" t="s">
        <v>275</v>
      </c>
      <c r="BD32" s="214" t="s">
        <v>277</v>
      </c>
      <c r="BE32" s="216" t="s">
        <v>275</v>
      </c>
      <c r="BF32" s="216" t="s">
        <v>275</v>
      </c>
    </row>
    <row r="33" spans="1:58">
      <c r="A33" s="214" t="s">
        <v>301</v>
      </c>
      <c r="B33" s="214" t="s">
        <v>269</v>
      </c>
      <c r="C33" s="214" t="s">
        <v>302</v>
      </c>
      <c r="D33" s="214" t="s">
        <v>303</v>
      </c>
      <c r="E33" s="214" t="s">
        <v>272</v>
      </c>
      <c r="F33" s="215">
        <v>5001</v>
      </c>
      <c r="G33" s="214" t="s">
        <v>273</v>
      </c>
      <c r="H33" s="215">
        <v>10</v>
      </c>
      <c r="I33" s="215">
        <v>999</v>
      </c>
      <c r="J33" s="215">
        <v>10</v>
      </c>
      <c r="K33" s="214" t="s">
        <v>298</v>
      </c>
      <c r="L33" s="216" t="s">
        <v>275</v>
      </c>
      <c r="M33" s="216" t="s">
        <v>275</v>
      </c>
      <c r="N33" s="214" t="s">
        <v>276</v>
      </c>
      <c r="O33" s="214" t="s">
        <v>213</v>
      </c>
      <c r="P33" s="214" t="s">
        <v>209</v>
      </c>
      <c r="Q33" s="215">
        <v>1</v>
      </c>
      <c r="R33" s="216" t="s">
        <v>275</v>
      </c>
      <c r="S33" s="214" t="s">
        <v>277</v>
      </c>
      <c r="T33" s="214" t="s">
        <v>304</v>
      </c>
      <c r="U33" s="214" t="s">
        <v>279</v>
      </c>
      <c r="V33" s="214" t="s">
        <v>294</v>
      </c>
      <c r="W33" s="214" t="s">
        <v>281</v>
      </c>
      <c r="X33" s="214" t="s">
        <v>273</v>
      </c>
      <c r="Y33" s="216" t="s">
        <v>275</v>
      </c>
      <c r="Z33" s="216" t="s">
        <v>275</v>
      </c>
      <c r="AA33" s="216" t="s">
        <v>275</v>
      </c>
      <c r="AB33" s="216" t="s">
        <v>275</v>
      </c>
      <c r="AC33" s="216" t="s">
        <v>275</v>
      </c>
      <c r="AD33" s="216" t="s">
        <v>275</v>
      </c>
      <c r="AE33" s="216" t="s">
        <v>275</v>
      </c>
      <c r="AF33" s="216" t="s">
        <v>275</v>
      </c>
      <c r="AG33" s="216" t="s">
        <v>275</v>
      </c>
      <c r="AH33" s="216" t="s">
        <v>275</v>
      </c>
      <c r="AI33" s="214" t="s">
        <v>281</v>
      </c>
      <c r="AJ33" s="216" t="s">
        <v>275</v>
      </c>
      <c r="AK33" s="216" t="s">
        <v>275</v>
      </c>
      <c r="AL33" s="216" t="s">
        <v>275</v>
      </c>
      <c r="AM33" s="216" t="s">
        <v>275</v>
      </c>
      <c r="AN33" s="217">
        <v>44340.391168981485</v>
      </c>
      <c r="AO33" s="217">
        <v>44340.880486111113</v>
      </c>
      <c r="AP33" s="215">
        <v>1</v>
      </c>
      <c r="AQ33" s="214" t="s">
        <v>288</v>
      </c>
      <c r="AR33" s="216" t="s">
        <v>275</v>
      </c>
      <c r="AS33" s="216" t="s">
        <v>275</v>
      </c>
      <c r="AT33" s="214" t="s">
        <v>305</v>
      </c>
      <c r="AU33" s="216" t="s">
        <v>275</v>
      </c>
      <c r="AV33" s="216" t="s">
        <v>275</v>
      </c>
      <c r="AW33" s="216" t="s">
        <v>275</v>
      </c>
      <c r="AX33" s="216" t="s">
        <v>275</v>
      </c>
      <c r="AY33" s="216" t="s">
        <v>275</v>
      </c>
      <c r="AZ33" s="216" t="s">
        <v>275</v>
      </c>
      <c r="BA33" s="216" t="s">
        <v>275</v>
      </c>
      <c r="BB33" s="216" t="s">
        <v>275</v>
      </c>
      <c r="BC33" s="216" t="s">
        <v>275</v>
      </c>
      <c r="BD33" s="214" t="s">
        <v>277</v>
      </c>
      <c r="BE33" s="216" t="s">
        <v>275</v>
      </c>
      <c r="BF33" s="216" t="s">
        <v>275</v>
      </c>
    </row>
    <row r="36" spans="1:58">
      <c r="A36" s="202" t="s">
        <v>306</v>
      </c>
    </row>
    <row r="37" spans="1:58">
      <c r="A37" s="202" t="s">
        <v>307</v>
      </c>
    </row>
    <row r="38" spans="1:58">
      <c r="A38" s="202" t="s">
        <v>308</v>
      </c>
    </row>
    <row r="41" spans="1:58">
      <c r="A41" s="202" t="s">
        <v>309</v>
      </c>
    </row>
  </sheetData>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736A-18E8-4E3A-B149-9149A6D48500}">
  <dimension ref="B1:J104"/>
  <sheetViews>
    <sheetView showGridLines="0" topLeftCell="A52" zoomScale="115" zoomScaleNormal="115" workbookViewId="0">
      <selection activeCell="X64" sqref="X64"/>
    </sheetView>
  </sheetViews>
  <sheetFormatPr defaultColWidth="3.453125" defaultRowHeight="13"/>
  <cols>
    <col min="13" max="13" width="11.453125" bestFit="1" customWidth="1"/>
    <col min="14" max="15" width="19.81640625" bestFit="1" customWidth="1"/>
  </cols>
  <sheetData>
    <row r="1" spans="2:10" s="246" customFormat="1">
      <c r="B1" s="246" t="s">
        <v>310</v>
      </c>
    </row>
    <row r="3" spans="2:10">
      <c r="B3" t="s">
        <v>311</v>
      </c>
      <c r="C3" t="s">
        <v>312</v>
      </c>
    </row>
    <row r="5" spans="2:10">
      <c r="B5" t="s">
        <v>313</v>
      </c>
      <c r="C5" t="s">
        <v>314</v>
      </c>
    </row>
    <row r="6" spans="2:10">
      <c r="C6" t="s">
        <v>315</v>
      </c>
      <c r="D6" t="s">
        <v>316</v>
      </c>
    </row>
    <row r="8" spans="2:10">
      <c r="B8" t="s">
        <v>317</v>
      </c>
      <c r="C8" t="s">
        <v>318</v>
      </c>
    </row>
    <row r="9" spans="2:10">
      <c r="C9" t="s">
        <v>315</v>
      </c>
      <c r="D9" t="s">
        <v>316</v>
      </c>
    </row>
    <row r="11" spans="2:10">
      <c r="B11" t="s">
        <v>319</v>
      </c>
    </row>
    <row r="13" spans="2:10">
      <c r="B13" t="s">
        <v>320</v>
      </c>
      <c r="C13" t="s">
        <v>321</v>
      </c>
    </row>
    <row r="14" spans="2:10">
      <c r="C14" s="247" t="s">
        <v>322</v>
      </c>
      <c r="D14" s="248"/>
      <c r="E14" s="249"/>
      <c r="F14" s="250" t="s">
        <v>323</v>
      </c>
      <c r="G14" s="251"/>
      <c r="H14" s="251"/>
      <c r="I14" s="222"/>
    </row>
    <row r="15" spans="2:10">
      <c r="C15" s="247" t="s">
        <v>324</v>
      </c>
      <c r="D15" s="248"/>
      <c r="E15" s="249"/>
      <c r="F15" s="250" t="s">
        <v>325</v>
      </c>
      <c r="G15" s="251"/>
      <c r="H15" s="251"/>
      <c r="I15" s="222"/>
      <c r="J15" t="s">
        <v>326</v>
      </c>
    </row>
    <row r="16" spans="2:10">
      <c r="C16" s="247" t="s">
        <v>327</v>
      </c>
      <c r="D16" s="248"/>
      <c r="E16" s="249"/>
      <c r="F16" s="250" t="s">
        <v>328</v>
      </c>
      <c r="G16" s="251"/>
      <c r="H16" s="251"/>
      <c r="I16" s="222"/>
      <c r="J16" t="s">
        <v>329</v>
      </c>
    </row>
    <row r="17" spans="2:9">
      <c r="C17" s="247" t="s">
        <v>330</v>
      </c>
      <c r="D17" s="248"/>
      <c r="E17" s="249"/>
      <c r="F17" s="250" t="s">
        <v>331</v>
      </c>
      <c r="G17" s="251"/>
      <c r="H17" s="251"/>
      <c r="I17" s="222"/>
    </row>
    <row r="19" spans="2:9">
      <c r="B19" t="s">
        <v>332</v>
      </c>
      <c r="C19" t="s">
        <v>333</v>
      </c>
    </row>
    <row r="20" spans="2:9">
      <c r="C20" t="s">
        <v>334</v>
      </c>
    </row>
    <row r="21" spans="2:9">
      <c r="C21" t="s">
        <v>315</v>
      </c>
      <c r="D21" t="s">
        <v>335</v>
      </c>
    </row>
    <row r="22" spans="2:9">
      <c r="D22" s="252" t="s">
        <v>336</v>
      </c>
    </row>
    <row r="24" spans="2:9">
      <c r="B24" t="s">
        <v>337</v>
      </c>
      <c r="C24" t="s">
        <v>338</v>
      </c>
    </row>
    <row r="25" spans="2:9">
      <c r="B25" t="s">
        <v>339</v>
      </c>
      <c r="C25" t="s">
        <v>340</v>
      </c>
    </row>
    <row r="26" spans="2:9">
      <c r="C26" t="s">
        <v>341</v>
      </c>
    </row>
    <row r="27" spans="2:9">
      <c r="C27" t="s">
        <v>342</v>
      </c>
    </row>
    <row r="46" spans="3:3">
      <c r="C46" t="s">
        <v>343</v>
      </c>
    </row>
    <row r="47" spans="3:3">
      <c r="C47" t="s">
        <v>344</v>
      </c>
    </row>
    <row r="49" spans="2:3" s="246" customFormat="1">
      <c r="B49" s="246" t="s">
        <v>345</v>
      </c>
    </row>
    <row r="51" spans="2:3">
      <c r="B51" t="s">
        <v>311</v>
      </c>
      <c r="C51" t="s">
        <v>346</v>
      </c>
    </row>
    <row r="54" spans="2:3">
      <c r="B54" t="s">
        <v>313</v>
      </c>
      <c r="C54" t="s">
        <v>347</v>
      </c>
    </row>
    <row r="55" spans="2:3">
      <c r="B55" t="s">
        <v>339</v>
      </c>
      <c r="C55" t="s">
        <v>348</v>
      </c>
    </row>
    <row r="56" spans="2:3">
      <c r="C56" t="s">
        <v>349</v>
      </c>
    </row>
    <row r="82" spans="2:10" s="246" customFormat="1">
      <c r="B82" s="246" t="s">
        <v>350</v>
      </c>
    </row>
    <row r="84" spans="2:10">
      <c r="B84" t="s">
        <v>311</v>
      </c>
      <c r="C84" t="s">
        <v>312</v>
      </c>
    </row>
    <row r="86" spans="2:10">
      <c r="B86" t="s">
        <v>313</v>
      </c>
      <c r="C86" t="s">
        <v>218</v>
      </c>
    </row>
    <row r="87" spans="2:10">
      <c r="C87" t="s">
        <v>351</v>
      </c>
    </row>
    <row r="88" spans="2:10">
      <c r="C88" t="s">
        <v>315</v>
      </c>
      <c r="D88" t="s">
        <v>352</v>
      </c>
    </row>
    <row r="90" spans="2:10">
      <c r="B90" t="s">
        <v>317</v>
      </c>
      <c r="C90" t="s">
        <v>321</v>
      </c>
    </row>
    <row r="91" spans="2:10">
      <c r="C91" s="247" t="s">
        <v>322</v>
      </c>
      <c r="D91" s="248"/>
      <c r="E91" s="249"/>
      <c r="F91" s="250" t="s">
        <v>323</v>
      </c>
      <c r="G91" s="251"/>
      <c r="H91" s="251"/>
      <c r="I91" s="222"/>
    </row>
    <row r="92" spans="2:10">
      <c r="C92" s="247" t="s">
        <v>324</v>
      </c>
      <c r="D92" s="248"/>
      <c r="E92" s="249"/>
      <c r="F92" s="250" t="s">
        <v>353</v>
      </c>
      <c r="G92" s="251"/>
      <c r="H92" s="251"/>
      <c r="I92" s="222"/>
      <c r="J92" t="s">
        <v>326</v>
      </c>
    </row>
    <row r="93" spans="2:10">
      <c r="C93" s="247" t="s">
        <v>327</v>
      </c>
      <c r="D93" s="248"/>
      <c r="E93" s="249"/>
      <c r="F93" s="250" t="s">
        <v>328</v>
      </c>
      <c r="G93" s="251"/>
      <c r="H93" s="251"/>
      <c r="I93" s="222"/>
      <c r="J93" t="s">
        <v>329</v>
      </c>
    </row>
    <row r="94" spans="2:10">
      <c r="C94" s="247" t="s">
        <v>330</v>
      </c>
      <c r="D94" s="248"/>
      <c r="E94" s="249"/>
      <c r="F94" s="250" t="s">
        <v>331</v>
      </c>
      <c r="G94" s="251"/>
      <c r="H94" s="251"/>
      <c r="I94" s="222"/>
    </row>
    <row r="96" spans="2:10">
      <c r="B96" t="s">
        <v>320</v>
      </c>
      <c r="C96" t="s">
        <v>354</v>
      </c>
    </row>
    <row r="97" spans="3:4">
      <c r="C97" t="s">
        <v>355</v>
      </c>
    </row>
    <row r="98" spans="3:4">
      <c r="D98" t="s">
        <v>356</v>
      </c>
    </row>
    <row r="100" spans="3:4">
      <c r="C100" t="s">
        <v>357</v>
      </c>
    </row>
    <row r="101" spans="3:4">
      <c r="D101" t="s">
        <v>358</v>
      </c>
    </row>
    <row r="103" spans="3:4">
      <c r="C103" t="s">
        <v>359</v>
      </c>
    </row>
    <row r="104" spans="3:4">
      <c r="D104" t="s">
        <v>360</v>
      </c>
    </row>
  </sheetData>
  <phoneticPr fontId="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5"/>
  <sheetViews>
    <sheetView showGridLines="0" zoomScale="80" zoomScaleNormal="80" workbookViewId="0">
      <selection activeCell="N18" sqref="N18"/>
    </sheetView>
  </sheetViews>
  <sheetFormatPr defaultColWidth="9" defaultRowHeight="15"/>
  <cols>
    <col min="1" max="1" width="9" style="182"/>
    <col min="2" max="2" width="20.453125" style="182" customWidth="1"/>
    <col min="3" max="3" width="10.81640625" style="182" customWidth="1"/>
    <col min="4" max="4" width="10.7265625" style="182" customWidth="1"/>
    <col min="5" max="16384" width="9" style="182"/>
  </cols>
  <sheetData>
    <row r="2" spans="1:16">
      <c r="A2" s="190" t="s">
        <v>361</v>
      </c>
      <c r="B2" s="191" t="s">
        <v>362</v>
      </c>
      <c r="C2" s="258" t="s">
        <v>363</v>
      </c>
      <c r="D2" s="191"/>
      <c r="E2" s="191"/>
      <c r="F2" s="191"/>
      <c r="G2" s="191"/>
      <c r="H2" s="191"/>
      <c r="I2" s="191"/>
      <c r="J2" s="191"/>
      <c r="K2" s="191"/>
      <c r="L2" s="191"/>
      <c r="M2" s="191"/>
      <c r="N2" s="191"/>
      <c r="O2" s="191"/>
      <c r="P2" s="190"/>
    </row>
    <row r="3" spans="1:16">
      <c r="A3" s="185" t="s">
        <v>364</v>
      </c>
      <c r="B3" s="183" t="s">
        <v>365</v>
      </c>
      <c r="C3" s="195" t="s">
        <v>366</v>
      </c>
      <c r="D3" s="192" t="s">
        <v>367</v>
      </c>
      <c r="E3" s="183"/>
      <c r="F3" s="183"/>
      <c r="G3" s="183"/>
      <c r="H3" s="183"/>
      <c r="I3" s="183"/>
      <c r="J3" s="183"/>
      <c r="K3" s="183"/>
      <c r="L3" s="183"/>
      <c r="M3" s="183"/>
      <c r="N3" s="183"/>
      <c r="O3" s="183"/>
      <c r="P3" s="185"/>
    </row>
    <row r="4" spans="1:16">
      <c r="A4" s="184"/>
      <c r="C4" s="196" t="s">
        <v>368</v>
      </c>
      <c r="D4" s="194" t="s">
        <v>369</v>
      </c>
      <c r="E4" s="187"/>
      <c r="F4" s="187"/>
      <c r="G4" s="187"/>
      <c r="H4" s="187"/>
      <c r="I4" s="187"/>
      <c r="J4" s="187"/>
      <c r="K4" s="187"/>
      <c r="L4" s="187"/>
      <c r="M4" s="187"/>
      <c r="N4" s="187"/>
      <c r="O4" s="187"/>
      <c r="P4" s="188"/>
    </row>
    <row r="5" spans="1:16">
      <c r="A5" s="184"/>
      <c r="C5" s="196" t="s">
        <v>370</v>
      </c>
      <c r="D5" s="194" t="s">
        <v>371</v>
      </c>
      <c r="E5" s="187"/>
      <c r="F5" s="187"/>
      <c r="G5" s="187"/>
      <c r="H5" s="187"/>
      <c r="I5" s="187"/>
      <c r="J5" s="187"/>
      <c r="K5" s="187"/>
      <c r="L5" s="187"/>
      <c r="M5" s="187"/>
      <c r="N5" s="187"/>
      <c r="O5" s="187"/>
      <c r="P5" s="188"/>
    </row>
    <row r="6" spans="1:16">
      <c r="A6" s="184"/>
      <c r="C6" s="197" t="s">
        <v>372</v>
      </c>
      <c r="D6" s="194">
        <v>13</v>
      </c>
      <c r="E6" s="187"/>
      <c r="F6" s="187"/>
      <c r="G6" s="187"/>
      <c r="H6" s="187"/>
      <c r="I6" s="187"/>
      <c r="J6" s="187"/>
      <c r="K6" s="187"/>
      <c r="L6" s="187"/>
      <c r="M6" s="187"/>
      <c r="N6" s="187"/>
      <c r="O6" s="187"/>
      <c r="P6" s="188"/>
    </row>
    <row r="7" spans="1:16">
      <c r="A7" s="184"/>
      <c r="C7" s="198" t="s">
        <v>373</v>
      </c>
      <c r="D7" s="193" t="s">
        <v>374</v>
      </c>
      <c r="P7" s="184"/>
    </row>
    <row r="8" spans="1:16">
      <c r="A8" s="184"/>
      <c r="B8" s="186" t="s">
        <v>375</v>
      </c>
      <c r="C8" s="186" t="str">
        <f>"select * from td_soti_syy_kiki where bldg_cd = '"&amp;$D$3&amp;"' and flor_cd = '"&amp;$D$4&amp;"' and gn_cd = '"&amp;$D$5&amp;"' and ga_no = '"&amp;$D$6&amp;"' and bpn_cd = '"&amp;$D$7&amp;"';"</f>
        <v>select * from td_soti_syy_kiki where bldg_cd = '4120100301' and flor_cd = '002' and gn_cd = 'N' and ga_no = '13' and bpn_cd = '5L530065';</v>
      </c>
      <c r="D8" s="187"/>
      <c r="E8" s="187"/>
      <c r="F8" s="187"/>
      <c r="G8" s="187"/>
      <c r="H8" s="187"/>
      <c r="I8" s="187"/>
      <c r="J8" s="187"/>
      <c r="K8" s="187"/>
      <c r="L8" s="187"/>
      <c r="M8" s="187"/>
      <c r="N8" s="187"/>
      <c r="O8" s="187"/>
      <c r="P8" s="188"/>
    </row>
    <row r="9" spans="1:16">
      <c r="A9" s="184"/>
      <c r="B9" s="186" t="s">
        <v>376</v>
      </c>
      <c r="C9" s="186" t="str">
        <f>"update td_ga set komanam = 'NG' where bldg_cd = '"&amp;$D$3&amp;"' and flor_cd = '"&amp;$D$4&amp;"' and gn_cd = '"&amp;$D$5&amp;"' and ga_no =  '"&amp;$D$6&amp;"';"</f>
        <v>update td_ga set komanam = 'NG' where bldg_cd = '4120100301' and flor_cd = '002' and gn_cd = 'N' and ga_no =  '13';</v>
      </c>
      <c r="D9" s="187"/>
      <c r="E9" s="187"/>
      <c r="F9" s="187"/>
      <c r="G9" s="187"/>
      <c r="H9" s="187"/>
      <c r="I9" s="187"/>
      <c r="J9" s="187"/>
      <c r="K9" s="187"/>
      <c r="L9" s="187"/>
      <c r="M9" s="187"/>
      <c r="N9" s="187"/>
      <c r="O9" s="187"/>
      <c r="P9" s="188"/>
    </row>
    <row r="10" spans="1:16">
      <c r="A10" s="184"/>
      <c r="B10" s="182" t="s">
        <v>377</v>
      </c>
      <c r="C10" s="189" t="str">
        <f>"update td_ga set komanam = 'D02' where bldg_cd ='"&amp;$D$3&amp;"' and flor_cd ='"&amp;$D$4&amp;"'and gn_cd = '"&amp;$D$5&amp;"' and ga_no = '"&amp;$D$6&amp;"';"</f>
        <v>update td_ga set komanam = 'D02' where bldg_cd ='4120100301' and flor_cd ='002'and gn_cd = 'N' and ga_no = '13';</v>
      </c>
      <c r="P10" s="184"/>
    </row>
    <row r="11" spans="1:16">
      <c r="A11" s="183"/>
      <c r="B11" s="183"/>
      <c r="C11" s="183"/>
      <c r="D11" s="183"/>
      <c r="E11" s="183"/>
      <c r="F11" s="183"/>
      <c r="G11" s="183"/>
      <c r="H11" s="183"/>
      <c r="I11" s="183"/>
      <c r="J11" s="183"/>
      <c r="K11" s="183"/>
      <c r="L11" s="183"/>
      <c r="M11" s="183"/>
      <c r="N11" s="183"/>
      <c r="O11" s="183"/>
      <c r="P11" s="183"/>
    </row>
    <row r="15" spans="1:16">
      <c r="B15" s="223"/>
    </row>
  </sheetData>
  <phoneticPr fontId="5"/>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Y25"/>
  <sheetViews>
    <sheetView showGridLines="0" zoomScale="85" zoomScaleNormal="85" workbookViewId="0"/>
  </sheetViews>
  <sheetFormatPr defaultColWidth="9" defaultRowHeight="13.5"/>
  <cols>
    <col min="1" max="1" width="2.453125" style="53" customWidth="1"/>
    <col min="2" max="2" width="13.54296875" style="54" bestFit="1" customWidth="1"/>
    <col min="3" max="3" width="28.81640625" style="54" customWidth="1"/>
    <col min="4" max="4" width="19" style="54" customWidth="1"/>
    <col min="5" max="24" width="11.1796875" style="54" bestFit="1" customWidth="1"/>
    <col min="25" max="16384" width="9" style="54"/>
  </cols>
  <sheetData>
    <row r="1" spans="1:25" ht="14" thickBot="1"/>
    <row r="2" spans="1:25" ht="14.5" thickTop="1" thickBot="1">
      <c r="D2" s="90" t="s">
        <v>378</v>
      </c>
      <c r="E2" s="87" t="str">
        <f>IFERROR(IF(E3="","",INDEX(試験項目書!$C$12:$C$82,MATCH(E3,試験項目書!$V$12:$V$82,0))),"")</f>
        <v/>
      </c>
      <c r="F2" s="88" t="str">
        <f>IFERROR(IF(F3="","",INDEX(試験項目書!$C$12:$C$82,MATCH(F3,試験項目書!$V$12:$V$82,0))),"")</f>
        <v/>
      </c>
      <c r="G2" s="88" t="str">
        <f>IFERROR(IF(G3="","",INDEX(試験項目書!$C$12:$C$82,MATCH(G3,試験項目書!$V$12:$V$82,0))),"")</f>
        <v/>
      </c>
      <c r="H2" s="88" t="str">
        <f>IFERROR(IF(H3="","",INDEX(試験項目書!$C$12:$C$82,MATCH(H3,試験項目書!$V$12:$V$82,0))),"")</f>
        <v/>
      </c>
      <c r="I2" s="88" t="str">
        <f>IFERROR(IF(I3="","",INDEX(試験項目書!$C$12:$C$82,MATCH(I3,試験項目書!$V$12:$V$82,0))),"")</f>
        <v/>
      </c>
      <c r="J2" s="88" t="str">
        <f>IFERROR(IF(J3="","",INDEX(試験項目書!$C$12:$C$82,MATCH(J3,試験項目書!$V$12:$V$82,0))),"")</f>
        <v/>
      </c>
      <c r="K2" s="88" t="str">
        <f>IFERROR(IF(K3="","",INDEX(試験項目書!$C$12:$C$82,MATCH(K3,試験項目書!$V$12:$V$82,0))),"")</f>
        <v/>
      </c>
      <c r="L2" s="88" t="str">
        <f>IFERROR(IF(L3="","",INDEX(試験項目書!$C$12:$C$82,MATCH(L3,試験項目書!$V$12:$V$82,0))),"")</f>
        <v/>
      </c>
      <c r="M2" s="88" t="str">
        <f>IFERROR(IF(M3="","",INDEX(試験項目書!$C$12:$C$82,MATCH(M3,試験項目書!$V$12:$V$82,0))),"")</f>
        <v/>
      </c>
      <c r="N2" s="88" t="str">
        <f>IFERROR(IF(N3="","",INDEX(試験項目書!$C$12:$C$82,MATCH(N3,試験項目書!$V$12:$V$82,0))),"")</f>
        <v/>
      </c>
      <c r="O2" s="88" t="str">
        <f>IFERROR(IF(O3="","",INDEX(試験項目書!$C$12:$C$82,MATCH(O3,試験項目書!$V$12:$V$82,0))),"")</f>
        <v/>
      </c>
      <c r="P2" s="88" t="str">
        <f>IFERROR(IF(P3="","",INDEX(試験項目書!$C$12:$C$82,MATCH(P3,試験項目書!$V$12:$V$82,0))),"")</f>
        <v/>
      </c>
      <c r="Q2" s="88" t="str">
        <f>IFERROR(IF(Q3="","",INDEX(試験項目書!$C$12:$C$82,MATCH(Q3,試験項目書!$V$12:$V$82,0))),"")</f>
        <v/>
      </c>
      <c r="R2" s="88" t="str">
        <f>IFERROR(IF(R3="","",INDEX(試験項目書!$C$12:$C$82,MATCH(R3,試験項目書!$V$12:$V$82,0))),"")</f>
        <v/>
      </c>
      <c r="S2" s="88" t="str">
        <f>IFERROR(IF(S3="","",INDEX(試験項目書!$C$12:$C$82,MATCH(S3,試験項目書!$V$12:$V$82,0))),"")</f>
        <v/>
      </c>
      <c r="T2" s="88" t="str">
        <f>IFERROR(IF(T3="","",INDEX(試験項目書!$C$12:$C$82,MATCH(T3,試験項目書!$V$12:$V$82,0))),"")</f>
        <v/>
      </c>
      <c r="U2" s="88" t="str">
        <f>IFERROR(IF(U3="","",INDEX(試験項目書!$C$12:$C$82,MATCH(U3,試験項目書!$V$12:$V$82,0))),"")</f>
        <v/>
      </c>
      <c r="V2" s="88" t="str">
        <f>IFERROR(IF(V3="","",INDEX(試験項目書!$C$12:$C$82,MATCH(V3,試験項目書!$V$12:$V$82,0))),"")</f>
        <v/>
      </c>
      <c r="W2" s="88" t="str">
        <f>IFERROR(IF(W3="","",INDEX(試験項目書!$C$12:$C$82,MATCH(W3,試験項目書!$V$12:$V$82,0))),"")</f>
        <v/>
      </c>
      <c r="X2" s="89" t="str">
        <f>IFERROR(IF(X3="","",INDEX(試験項目書!$C$12:$C$82,MATCH(X3,試験項目書!$V$12:$V$82,0))),"")</f>
        <v/>
      </c>
    </row>
    <row r="3" spans="1:25" ht="14.5" thickTop="1" thickBot="1">
      <c r="B3" s="80" t="s">
        <v>379</v>
      </c>
      <c r="C3" s="81" t="s">
        <v>380</v>
      </c>
      <c r="D3" s="59" t="s">
        <v>381</v>
      </c>
      <c r="E3" s="139" t="s">
        <v>382</v>
      </c>
      <c r="F3" s="140" t="s">
        <v>383</v>
      </c>
      <c r="G3" s="140" t="s">
        <v>384</v>
      </c>
      <c r="H3" s="140" t="s">
        <v>385</v>
      </c>
      <c r="I3" s="140" t="s">
        <v>386</v>
      </c>
      <c r="J3" s="140" t="s">
        <v>387</v>
      </c>
      <c r="K3" s="140" t="s">
        <v>388</v>
      </c>
      <c r="L3" s="140" t="s">
        <v>389</v>
      </c>
      <c r="M3" s="140" t="s">
        <v>390</v>
      </c>
      <c r="N3" s="140" t="s">
        <v>391</v>
      </c>
      <c r="O3" s="140" t="s">
        <v>392</v>
      </c>
      <c r="P3" s="140" t="s">
        <v>393</v>
      </c>
      <c r="Q3" s="140" t="s">
        <v>394</v>
      </c>
      <c r="R3" s="140" t="s">
        <v>395</v>
      </c>
      <c r="S3" s="140" t="s">
        <v>396</v>
      </c>
      <c r="T3" s="140" t="s">
        <v>397</v>
      </c>
      <c r="U3" s="140" t="s">
        <v>398</v>
      </c>
      <c r="V3" s="140" t="s">
        <v>399</v>
      </c>
      <c r="W3" s="140" t="s">
        <v>400</v>
      </c>
      <c r="X3" s="141" t="s">
        <v>401</v>
      </c>
    </row>
    <row r="4" spans="1:25" ht="14" thickTop="1">
      <c r="B4" s="378" t="s">
        <v>402</v>
      </c>
      <c r="C4" s="82" t="s">
        <v>403</v>
      </c>
      <c r="D4" s="65"/>
      <c r="E4" s="68" t="s">
        <v>404</v>
      </c>
      <c r="F4" s="56" t="s">
        <v>371</v>
      </c>
      <c r="G4" s="56" t="s">
        <v>371</v>
      </c>
      <c r="H4" s="56" t="s">
        <v>371</v>
      </c>
      <c r="I4" s="56"/>
      <c r="J4" s="56"/>
      <c r="K4" s="56"/>
      <c r="L4" s="56"/>
      <c r="M4" s="56"/>
      <c r="N4" s="56"/>
      <c r="O4" s="56"/>
      <c r="P4" s="56"/>
      <c r="Q4" s="56"/>
      <c r="R4" s="56"/>
      <c r="S4" s="56"/>
      <c r="T4" s="56"/>
      <c r="U4" s="56"/>
      <c r="V4" s="55"/>
      <c r="W4" s="56"/>
      <c r="X4" s="142"/>
    </row>
    <row r="5" spans="1:25">
      <c r="B5" s="379"/>
      <c r="C5" s="82" t="s">
        <v>405</v>
      </c>
      <c r="D5" s="65"/>
      <c r="E5" s="69" t="s">
        <v>406</v>
      </c>
      <c r="F5" s="58" t="s">
        <v>404</v>
      </c>
      <c r="G5" s="58" t="s">
        <v>371</v>
      </c>
      <c r="H5" s="58" t="s">
        <v>371</v>
      </c>
      <c r="I5" s="58"/>
      <c r="J5" s="58"/>
      <c r="K5" s="58"/>
      <c r="L5" s="58"/>
      <c r="M5" s="58"/>
      <c r="N5" s="58"/>
      <c r="O5" s="58"/>
      <c r="P5" s="58"/>
      <c r="Q5" s="58"/>
      <c r="R5" s="58"/>
      <c r="S5" s="58"/>
      <c r="T5" s="58"/>
      <c r="U5" s="58"/>
      <c r="V5" s="57"/>
      <c r="W5" s="58"/>
      <c r="X5" s="143"/>
    </row>
    <row r="6" spans="1:25" ht="14.25" customHeight="1">
      <c r="B6" s="380"/>
      <c r="C6" s="83" t="s">
        <v>407</v>
      </c>
      <c r="D6" s="76"/>
      <c r="E6" s="77" t="s">
        <v>406</v>
      </c>
      <c r="F6" s="79" t="s">
        <v>406</v>
      </c>
      <c r="G6" s="79" t="s">
        <v>404</v>
      </c>
      <c r="H6" s="79" t="s">
        <v>371</v>
      </c>
      <c r="I6" s="79"/>
      <c r="J6" s="79"/>
      <c r="K6" s="79"/>
      <c r="L6" s="79"/>
      <c r="M6" s="79"/>
      <c r="N6" s="79"/>
      <c r="O6" s="79"/>
      <c r="P6" s="79"/>
      <c r="Q6" s="79"/>
      <c r="R6" s="79"/>
      <c r="S6" s="79"/>
      <c r="T6" s="79"/>
      <c r="U6" s="79"/>
      <c r="V6" s="78"/>
      <c r="W6" s="79"/>
      <c r="X6" s="144"/>
    </row>
    <row r="7" spans="1:25" ht="14" thickBot="1">
      <c r="B7" s="259" t="s">
        <v>408</v>
      </c>
      <c r="C7" s="260" t="s">
        <v>408</v>
      </c>
      <c r="D7" s="261" t="s">
        <v>95</v>
      </c>
      <c r="E7" s="375"/>
      <c r="F7" s="376"/>
      <c r="G7" s="376"/>
      <c r="H7" s="376"/>
      <c r="I7" s="376"/>
      <c r="J7" s="376"/>
      <c r="K7" s="376"/>
      <c r="L7" s="376"/>
      <c r="M7" s="376"/>
      <c r="N7" s="376"/>
      <c r="O7" s="376"/>
      <c r="P7" s="376"/>
      <c r="Q7" s="376"/>
      <c r="R7" s="376"/>
      <c r="S7" s="376"/>
      <c r="T7" s="376"/>
      <c r="U7" s="376"/>
      <c r="V7" s="376"/>
      <c r="W7" s="376"/>
      <c r="X7" s="377"/>
    </row>
    <row r="8" spans="1:25" ht="14" thickTop="1">
      <c r="B8" s="372" t="s">
        <v>409</v>
      </c>
      <c r="C8" s="84" t="s">
        <v>410</v>
      </c>
      <c r="D8" s="66"/>
      <c r="E8" s="70"/>
      <c r="F8" s="60"/>
      <c r="G8" s="60"/>
      <c r="H8" s="60" t="s">
        <v>404</v>
      </c>
      <c r="I8" s="60"/>
      <c r="J8" s="60"/>
      <c r="K8" s="60"/>
      <c r="L8" s="60"/>
      <c r="M8" s="60"/>
      <c r="N8" s="60"/>
      <c r="O8" s="60"/>
      <c r="P8" s="60"/>
      <c r="Q8" s="60"/>
      <c r="R8" s="60"/>
      <c r="S8" s="60"/>
      <c r="T8" s="60"/>
      <c r="U8" s="60"/>
      <c r="V8" s="60"/>
      <c r="W8" s="60"/>
      <c r="X8" s="71"/>
      <c r="Y8" s="61" t="s">
        <v>112</v>
      </c>
    </row>
    <row r="9" spans="1:25">
      <c r="B9" s="373"/>
      <c r="C9" s="85" t="s">
        <v>411</v>
      </c>
      <c r="D9" s="65"/>
      <c r="E9" s="72"/>
      <c r="F9" s="62"/>
      <c r="G9" s="62" t="s">
        <v>404</v>
      </c>
      <c r="H9" s="62"/>
      <c r="I9" s="62"/>
      <c r="J9" s="62"/>
      <c r="K9" s="62"/>
      <c r="L9" s="62"/>
      <c r="M9" s="62"/>
      <c r="N9" s="62"/>
      <c r="O9" s="62"/>
      <c r="P9" s="62"/>
      <c r="Q9" s="62"/>
      <c r="R9" s="62"/>
      <c r="S9" s="62"/>
      <c r="T9" s="62"/>
      <c r="U9" s="62"/>
      <c r="V9" s="62"/>
      <c r="W9" s="62"/>
      <c r="X9" s="73"/>
      <c r="Y9" s="61" t="s">
        <v>112</v>
      </c>
    </row>
    <row r="10" spans="1:25">
      <c r="B10" s="373"/>
      <c r="C10" s="85" t="s">
        <v>412</v>
      </c>
      <c r="D10" s="65"/>
      <c r="E10" s="72"/>
      <c r="F10" s="62" t="s">
        <v>404</v>
      </c>
      <c r="G10" s="62"/>
      <c r="H10" s="62"/>
      <c r="I10" s="62"/>
      <c r="J10" s="62"/>
      <c r="K10" s="62"/>
      <c r="L10" s="62"/>
      <c r="M10" s="62"/>
      <c r="N10" s="62"/>
      <c r="O10" s="62"/>
      <c r="P10" s="62"/>
      <c r="Q10" s="62"/>
      <c r="R10" s="62"/>
      <c r="S10" s="62"/>
      <c r="T10" s="62"/>
      <c r="U10" s="62"/>
      <c r="V10" s="62"/>
      <c r="W10" s="62"/>
      <c r="X10" s="73"/>
      <c r="Y10" s="61" t="s">
        <v>112</v>
      </c>
    </row>
    <row r="11" spans="1:25" ht="14" thickBot="1">
      <c r="B11" s="374"/>
      <c r="C11" s="86" t="s">
        <v>413</v>
      </c>
      <c r="D11" s="67"/>
      <c r="E11" s="74" t="s">
        <v>404</v>
      </c>
      <c r="F11" s="63"/>
      <c r="G11" s="63"/>
      <c r="H11" s="63"/>
      <c r="I11" s="63"/>
      <c r="J11" s="63"/>
      <c r="K11" s="63"/>
      <c r="L11" s="63"/>
      <c r="M11" s="63"/>
      <c r="N11" s="63"/>
      <c r="O11" s="63"/>
      <c r="P11" s="63"/>
      <c r="Q11" s="63"/>
      <c r="R11" s="63"/>
      <c r="S11" s="63"/>
      <c r="T11" s="63"/>
      <c r="U11" s="63"/>
      <c r="V11" s="63"/>
      <c r="W11" s="63"/>
      <c r="X11" s="75"/>
      <c r="Y11" s="61" t="s">
        <v>112</v>
      </c>
    </row>
    <row r="12" spans="1:25" ht="14" thickTop="1">
      <c r="A12" s="64"/>
      <c r="B12" s="61" t="s">
        <v>112</v>
      </c>
      <c r="C12" s="61" t="s">
        <v>112</v>
      </c>
      <c r="D12" s="61" t="s">
        <v>112</v>
      </c>
      <c r="E12" s="61" t="s">
        <v>112</v>
      </c>
      <c r="F12" s="61"/>
      <c r="G12" s="61"/>
      <c r="H12" s="61"/>
      <c r="I12" s="61"/>
      <c r="J12" s="61"/>
      <c r="K12" s="61"/>
      <c r="L12" s="61"/>
      <c r="M12" s="61"/>
      <c r="N12" s="61"/>
      <c r="O12" s="61"/>
      <c r="P12" s="61"/>
      <c r="Q12" s="61"/>
      <c r="R12" s="61"/>
      <c r="S12" s="61"/>
      <c r="T12" s="61"/>
      <c r="U12" s="61"/>
      <c r="V12" s="61" t="s">
        <v>112</v>
      </c>
      <c r="W12" s="61" t="s">
        <v>112</v>
      </c>
      <c r="X12" s="61" t="s">
        <v>112</v>
      </c>
    </row>
    <row r="14" spans="1:25" ht="14" thickBot="1"/>
    <row r="15" spans="1:25" ht="14.5" thickTop="1" thickBot="1">
      <c r="D15" s="90" t="s">
        <v>378</v>
      </c>
      <c r="E15" s="87" t="str">
        <f>IFERROR(IF(E16="","",INDEX(試験項目書!$C$12:$C$82,MATCH(E16,試験項目書!$V$12:$V$82,0))),"")</f>
        <v/>
      </c>
      <c r="F15" s="88" t="str">
        <f>IFERROR(IF(F16="","",INDEX(試験項目書!$C$12:$C$82,MATCH(F16,試験項目書!$V$12:$V$82,0))),"")</f>
        <v/>
      </c>
      <c r="G15" s="88" t="str">
        <f>IFERROR(IF(G16="","",INDEX(試験項目書!$C$12:$C$82,MATCH(G16,試験項目書!$V$12:$V$82,0))),"")</f>
        <v/>
      </c>
      <c r="H15" s="88" t="str">
        <f>IFERROR(IF(H16="","",INDEX(試験項目書!$C$12:$C$82,MATCH(H16,試験項目書!$V$12:$V$82,0))),"")</f>
        <v/>
      </c>
      <c r="I15" s="88" t="str">
        <f>IFERROR(IF(I16="","",INDEX(試験項目書!$C$12:$C$82,MATCH(I16,試験項目書!$V$12:$V$82,0))),"")</f>
        <v/>
      </c>
      <c r="J15" s="88" t="str">
        <f>IFERROR(IF(J16="","",INDEX(試験項目書!$C$12:$C$82,MATCH(J16,試験項目書!$V$12:$V$82,0))),"")</f>
        <v/>
      </c>
      <c r="K15" s="88" t="str">
        <f>IFERROR(IF(K16="","",INDEX(試験項目書!$C$12:$C$82,MATCH(K16,試験項目書!$V$12:$V$82,0))),"")</f>
        <v/>
      </c>
      <c r="L15" s="88" t="str">
        <f>IFERROR(IF(L16="","",INDEX(試験項目書!$C$12:$C$82,MATCH(L16,試験項目書!$V$12:$V$82,0))),"")</f>
        <v/>
      </c>
      <c r="M15" s="88" t="str">
        <f>IFERROR(IF(M16="","",INDEX(試験項目書!$C$12:$C$82,MATCH(M16,試験項目書!$V$12:$V$82,0))),"")</f>
        <v/>
      </c>
      <c r="N15" s="88" t="str">
        <f>IFERROR(IF(N16="","",INDEX(試験項目書!$C$12:$C$82,MATCH(N16,試験項目書!$V$12:$V$82,0))),"")</f>
        <v/>
      </c>
      <c r="O15" s="88" t="str">
        <f>IFERROR(IF(O16="","",INDEX(試験項目書!$C$12:$C$82,MATCH(O16,試験項目書!$V$12:$V$82,0))),"")</f>
        <v/>
      </c>
      <c r="P15" s="88" t="str">
        <f>IFERROR(IF(P16="","",INDEX(試験項目書!$C$12:$C$82,MATCH(P16,試験項目書!$V$12:$V$82,0))),"")</f>
        <v/>
      </c>
      <c r="Q15" s="88" t="str">
        <f>IFERROR(IF(Q16="","",INDEX(試験項目書!$C$12:$C$82,MATCH(Q16,試験項目書!$V$12:$V$82,0))),"")</f>
        <v/>
      </c>
      <c r="R15" s="88" t="str">
        <f>IFERROR(IF(R16="","",INDEX(試験項目書!$C$12:$C$82,MATCH(R16,試験項目書!$V$12:$V$82,0))),"")</f>
        <v/>
      </c>
      <c r="S15" s="88" t="str">
        <f>IFERROR(IF(S16="","",INDEX(試験項目書!$C$12:$C$82,MATCH(S16,試験項目書!$V$12:$V$82,0))),"")</f>
        <v/>
      </c>
      <c r="T15" s="88" t="str">
        <f>IFERROR(IF(T16="","",INDEX(試験項目書!$C$12:$C$82,MATCH(T16,試験項目書!$V$12:$V$82,0))),"")</f>
        <v/>
      </c>
      <c r="U15" s="88" t="str">
        <f>IFERROR(IF(U16="","",INDEX(試験項目書!$C$12:$C$82,MATCH(U16,試験項目書!$V$12:$V$82,0))),"")</f>
        <v/>
      </c>
      <c r="V15" s="88" t="str">
        <f>IFERROR(IF(V16="","",INDEX(試験項目書!$C$12:$C$82,MATCH(V16,試験項目書!$V$12:$V$82,0))),"")</f>
        <v/>
      </c>
      <c r="W15" s="88" t="str">
        <f>IFERROR(IF(W16="","",INDEX(試験項目書!$C$12:$C$82,MATCH(W16,試験項目書!$V$12:$V$82,0))),"")</f>
        <v/>
      </c>
      <c r="X15" s="89" t="str">
        <f>IFERROR(IF(X16="","",INDEX(試験項目書!$C$12:$C$82,MATCH(X16,試験項目書!$V$12:$V$82,0))),"")</f>
        <v/>
      </c>
    </row>
    <row r="16" spans="1:25" ht="14.5" thickTop="1" thickBot="1">
      <c r="B16" s="80" t="s">
        <v>379</v>
      </c>
      <c r="C16" s="81" t="s">
        <v>380</v>
      </c>
      <c r="D16" s="59" t="s">
        <v>381</v>
      </c>
      <c r="E16" s="139" t="s">
        <v>414</v>
      </c>
      <c r="F16" s="140" t="s">
        <v>415</v>
      </c>
      <c r="G16" s="140" t="s">
        <v>416</v>
      </c>
      <c r="H16" s="140" t="s">
        <v>417</v>
      </c>
      <c r="I16" s="140" t="s">
        <v>418</v>
      </c>
      <c r="J16" s="140" t="s">
        <v>419</v>
      </c>
      <c r="K16" s="140" t="s">
        <v>420</v>
      </c>
      <c r="L16" s="140" t="s">
        <v>421</v>
      </c>
      <c r="M16" s="140" t="s">
        <v>422</v>
      </c>
      <c r="N16" s="140" t="s">
        <v>423</v>
      </c>
      <c r="O16" s="140" t="s">
        <v>424</v>
      </c>
      <c r="P16" s="140" t="s">
        <v>425</v>
      </c>
      <c r="Q16" s="140" t="s">
        <v>426</v>
      </c>
      <c r="R16" s="140" t="s">
        <v>427</v>
      </c>
      <c r="S16" s="140" t="s">
        <v>428</v>
      </c>
      <c r="T16" s="140" t="s">
        <v>429</v>
      </c>
      <c r="U16" s="140" t="s">
        <v>430</v>
      </c>
      <c r="V16" s="140" t="s">
        <v>431</v>
      </c>
      <c r="W16" s="140" t="s">
        <v>432</v>
      </c>
      <c r="X16" s="140" t="s">
        <v>433</v>
      </c>
    </row>
    <row r="17" spans="1:25" ht="14" thickTop="1">
      <c r="B17" s="378" t="s">
        <v>402</v>
      </c>
      <c r="C17" s="82" t="s">
        <v>403</v>
      </c>
      <c r="D17" s="65"/>
      <c r="E17" s="68" t="s">
        <v>404</v>
      </c>
      <c r="F17" s="56" t="s">
        <v>371</v>
      </c>
      <c r="G17" s="56" t="s">
        <v>371</v>
      </c>
      <c r="H17" s="56" t="s">
        <v>371</v>
      </c>
      <c r="I17" s="56"/>
      <c r="J17" s="56"/>
      <c r="K17" s="56"/>
      <c r="L17" s="56"/>
      <c r="M17" s="56"/>
      <c r="N17" s="56"/>
      <c r="O17" s="56"/>
      <c r="P17" s="56"/>
      <c r="Q17" s="56"/>
      <c r="R17" s="56"/>
      <c r="S17" s="56"/>
      <c r="T17" s="56"/>
      <c r="U17" s="56"/>
      <c r="V17" s="55"/>
      <c r="W17" s="56"/>
      <c r="X17" s="142"/>
    </row>
    <row r="18" spans="1:25">
      <c r="B18" s="379"/>
      <c r="C18" s="82" t="s">
        <v>405</v>
      </c>
      <c r="D18" s="65"/>
      <c r="E18" s="69" t="s">
        <v>406</v>
      </c>
      <c r="F18" s="58" t="s">
        <v>404</v>
      </c>
      <c r="G18" s="58" t="s">
        <v>371</v>
      </c>
      <c r="H18" s="58" t="s">
        <v>371</v>
      </c>
      <c r="I18" s="58"/>
      <c r="J18" s="58"/>
      <c r="K18" s="58"/>
      <c r="L18" s="58"/>
      <c r="M18" s="58"/>
      <c r="N18" s="58"/>
      <c r="O18" s="58"/>
      <c r="P18" s="58"/>
      <c r="Q18" s="58"/>
      <c r="R18" s="58"/>
      <c r="S18" s="58"/>
      <c r="T18" s="58"/>
      <c r="U18" s="58"/>
      <c r="V18" s="57"/>
      <c r="W18" s="58"/>
      <c r="X18" s="143"/>
    </row>
    <row r="19" spans="1:25" ht="14.25" customHeight="1">
      <c r="B19" s="380"/>
      <c r="C19" s="83" t="s">
        <v>407</v>
      </c>
      <c r="D19" s="76"/>
      <c r="E19" s="77" t="s">
        <v>406</v>
      </c>
      <c r="F19" s="79" t="s">
        <v>406</v>
      </c>
      <c r="G19" s="79" t="s">
        <v>404</v>
      </c>
      <c r="H19" s="79" t="s">
        <v>371</v>
      </c>
      <c r="I19" s="79"/>
      <c r="J19" s="79"/>
      <c r="K19" s="79"/>
      <c r="L19" s="79"/>
      <c r="M19" s="79"/>
      <c r="N19" s="79"/>
      <c r="O19" s="79"/>
      <c r="P19" s="79"/>
      <c r="Q19" s="79"/>
      <c r="R19" s="79"/>
      <c r="S19" s="79"/>
      <c r="T19" s="79"/>
      <c r="U19" s="79"/>
      <c r="V19" s="78"/>
      <c r="W19" s="79"/>
      <c r="X19" s="144"/>
    </row>
    <row r="20" spans="1:25" ht="14" thickBot="1">
      <c r="B20" s="259" t="s">
        <v>408</v>
      </c>
      <c r="C20" s="260" t="s">
        <v>408</v>
      </c>
      <c r="D20" s="261" t="s">
        <v>95</v>
      </c>
      <c r="E20" s="375"/>
      <c r="F20" s="376"/>
      <c r="G20" s="376"/>
      <c r="H20" s="376"/>
      <c r="I20" s="376"/>
      <c r="J20" s="376"/>
      <c r="K20" s="376"/>
      <c r="L20" s="376"/>
      <c r="M20" s="376"/>
      <c r="N20" s="376"/>
      <c r="O20" s="376"/>
      <c r="P20" s="376"/>
      <c r="Q20" s="376"/>
      <c r="R20" s="376"/>
      <c r="S20" s="376"/>
      <c r="T20" s="376"/>
      <c r="U20" s="376"/>
      <c r="V20" s="376"/>
      <c r="W20" s="376"/>
      <c r="X20" s="377"/>
    </row>
    <row r="21" spans="1:25" ht="14" thickTop="1">
      <c r="B21" s="372" t="s">
        <v>409</v>
      </c>
      <c r="C21" s="84" t="s">
        <v>410</v>
      </c>
      <c r="D21" s="66"/>
      <c r="E21" s="70"/>
      <c r="F21" s="60"/>
      <c r="G21" s="60"/>
      <c r="H21" s="60" t="s">
        <v>404</v>
      </c>
      <c r="I21" s="60"/>
      <c r="J21" s="60"/>
      <c r="K21" s="60"/>
      <c r="L21" s="60"/>
      <c r="M21" s="60"/>
      <c r="N21" s="60"/>
      <c r="O21" s="60"/>
      <c r="P21" s="60"/>
      <c r="Q21" s="60"/>
      <c r="R21" s="60"/>
      <c r="S21" s="60"/>
      <c r="T21" s="60"/>
      <c r="U21" s="60"/>
      <c r="V21" s="60"/>
      <c r="W21" s="60"/>
      <c r="X21" s="71"/>
      <c r="Y21" s="61" t="s">
        <v>112</v>
      </c>
    </row>
    <row r="22" spans="1:25">
      <c r="B22" s="373"/>
      <c r="C22" s="85" t="s">
        <v>411</v>
      </c>
      <c r="D22" s="65"/>
      <c r="E22" s="72"/>
      <c r="F22" s="62"/>
      <c r="G22" s="62" t="s">
        <v>404</v>
      </c>
      <c r="H22" s="62"/>
      <c r="I22" s="62"/>
      <c r="J22" s="62"/>
      <c r="K22" s="62"/>
      <c r="L22" s="62"/>
      <c r="M22" s="62"/>
      <c r="N22" s="62"/>
      <c r="O22" s="62"/>
      <c r="P22" s="62"/>
      <c r="Q22" s="62"/>
      <c r="R22" s="62"/>
      <c r="S22" s="62"/>
      <c r="T22" s="62"/>
      <c r="U22" s="62"/>
      <c r="V22" s="62"/>
      <c r="W22" s="62"/>
      <c r="X22" s="73"/>
      <c r="Y22" s="61" t="s">
        <v>112</v>
      </c>
    </row>
    <row r="23" spans="1:25">
      <c r="B23" s="373"/>
      <c r="C23" s="85" t="s">
        <v>412</v>
      </c>
      <c r="D23" s="65"/>
      <c r="E23" s="72"/>
      <c r="F23" s="62" t="s">
        <v>404</v>
      </c>
      <c r="G23" s="62"/>
      <c r="H23" s="62"/>
      <c r="I23" s="62"/>
      <c r="J23" s="62"/>
      <c r="K23" s="62"/>
      <c r="L23" s="62"/>
      <c r="M23" s="62"/>
      <c r="N23" s="62"/>
      <c r="O23" s="62"/>
      <c r="P23" s="62"/>
      <c r="Q23" s="62"/>
      <c r="R23" s="62"/>
      <c r="S23" s="62"/>
      <c r="T23" s="62"/>
      <c r="U23" s="62"/>
      <c r="V23" s="62"/>
      <c r="W23" s="62"/>
      <c r="X23" s="73"/>
      <c r="Y23" s="61" t="s">
        <v>112</v>
      </c>
    </row>
    <row r="24" spans="1:25" ht="14" thickBot="1">
      <c r="B24" s="374"/>
      <c r="C24" s="86" t="s">
        <v>413</v>
      </c>
      <c r="D24" s="67"/>
      <c r="E24" s="74" t="s">
        <v>404</v>
      </c>
      <c r="F24" s="63"/>
      <c r="G24" s="63"/>
      <c r="H24" s="63"/>
      <c r="I24" s="63"/>
      <c r="J24" s="63"/>
      <c r="K24" s="63"/>
      <c r="L24" s="63"/>
      <c r="M24" s="63"/>
      <c r="N24" s="63"/>
      <c r="O24" s="63"/>
      <c r="P24" s="63"/>
      <c r="Q24" s="63"/>
      <c r="R24" s="63"/>
      <c r="S24" s="63"/>
      <c r="T24" s="63"/>
      <c r="U24" s="63"/>
      <c r="V24" s="63"/>
      <c r="W24" s="63"/>
      <c r="X24" s="75"/>
      <c r="Y24" s="61" t="s">
        <v>112</v>
      </c>
    </row>
    <row r="25" spans="1:25" ht="14" thickTop="1">
      <c r="A25" s="64"/>
      <c r="B25" s="61" t="s">
        <v>112</v>
      </c>
      <c r="C25" s="61" t="s">
        <v>112</v>
      </c>
      <c r="D25" s="61" t="s">
        <v>112</v>
      </c>
      <c r="E25" s="61" t="s">
        <v>112</v>
      </c>
      <c r="F25" s="61"/>
      <c r="G25" s="61"/>
      <c r="H25" s="61"/>
      <c r="I25" s="61"/>
      <c r="J25" s="61"/>
      <c r="K25" s="61"/>
      <c r="L25" s="61"/>
      <c r="M25" s="61"/>
      <c r="N25" s="61"/>
      <c r="O25" s="61"/>
      <c r="P25" s="61"/>
      <c r="Q25" s="61"/>
      <c r="R25" s="61"/>
      <c r="S25" s="61"/>
      <c r="T25" s="61"/>
      <c r="U25" s="61"/>
      <c r="V25" s="61" t="s">
        <v>112</v>
      </c>
      <c r="W25" s="61" t="s">
        <v>112</v>
      </c>
      <c r="X25" s="61" t="s">
        <v>112</v>
      </c>
    </row>
  </sheetData>
  <sheetProtection formatCells="0" formatColumns="0" formatRows="0" insertColumns="0" insertRows="0" insertHyperlinks="0" deleteColumns="0" deleteRows="0" sort="0" autoFilter="0" pivotTables="0"/>
  <mergeCells count="6">
    <mergeCell ref="B21:B24"/>
    <mergeCell ref="E7:X7"/>
    <mergeCell ref="B4:B6"/>
    <mergeCell ref="B8:B11"/>
    <mergeCell ref="B17:B19"/>
    <mergeCell ref="E20:X20"/>
  </mergeCells>
  <phoneticPr fontId="5"/>
  <conditionalFormatting sqref="E8:X11">
    <cfRule type="cellIs" dxfId="1" priority="3" operator="equal">
      <formula>"－"</formula>
    </cfRule>
  </conditionalFormatting>
  <conditionalFormatting sqref="E21:X24">
    <cfRule type="cellIs" dxfId="0" priority="1" operator="equal">
      <formula>"－"</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B1:BU16"/>
  <sheetViews>
    <sheetView showGridLines="0" zoomScale="85" zoomScaleNormal="85" workbookViewId="0"/>
  </sheetViews>
  <sheetFormatPr defaultColWidth="9" defaultRowHeight="17.5"/>
  <cols>
    <col min="1" max="1" width="2.54296875" style="18" customWidth="1"/>
    <col min="2" max="2" width="20.54296875" style="18" customWidth="1"/>
    <col min="3" max="3" width="11.7265625" style="18" bestFit="1" customWidth="1"/>
    <col min="4" max="73" width="7.54296875" style="18" customWidth="1"/>
    <col min="74" max="16384" width="9" style="18"/>
  </cols>
  <sheetData>
    <row r="1" spans="2:73">
      <c r="B1" s="262" t="s">
        <v>434</v>
      </c>
      <c r="C1" s="263" t="str">
        <f ca="1">LEFT(IF(COUNTA(試験項目書!H13:H82)-COUNTBLANK(試験項目書!H13:H82)=0,TEXT(NOW(),"yyyy/mm/dd"),TEXT(MIN(試験項目書!H13:H82),"yyyy/mm/dd")),8)&amp;"01"</f>
        <v>1900/01/01</v>
      </c>
      <c r="F1" s="177"/>
    </row>
    <row r="2" spans="2:73">
      <c r="B2" s="169" t="s">
        <v>435</v>
      </c>
      <c r="C2" s="168">
        <f>試験項目書!D2</f>
        <v>1</v>
      </c>
    </row>
    <row r="3" spans="2:73">
      <c r="B3" s="170" t="s">
        <v>436</v>
      </c>
      <c r="C3" s="168">
        <f>試験項目書!D3</f>
        <v>8</v>
      </c>
    </row>
    <row r="5" spans="2:73">
      <c r="B5" s="264"/>
      <c r="C5" s="265" t="str">
        <f ca="1">C1</f>
        <v>1900/01/01</v>
      </c>
      <c r="D5" s="265">
        <f ca="1">C5+1</f>
        <v>2</v>
      </c>
      <c r="E5" s="265">
        <f t="shared" ref="E5:BP5" ca="1" si="0">D5+1</f>
        <v>3</v>
      </c>
      <c r="F5" s="265">
        <f t="shared" ca="1" si="0"/>
        <v>4</v>
      </c>
      <c r="G5" s="265">
        <f t="shared" ca="1" si="0"/>
        <v>5</v>
      </c>
      <c r="H5" s="265">
        <f t="shared" ca="1" si="0"/>
        <v>6</v>
      </c>
      <c r="I5" s="265">
        <f t="shared" ca="1" si="0"/>
        <v>7</v>
      </c>
      <c r="J5" s="265">
        <f t="shared" ca="1" si="0"/>
        <v>8</v>
      </c>
      <c r="K5" s="265">
        <f t="shared" ca="1" si="0"/>
        <v>9</v>
      </c>
      <c r="L5" s="265">
        <f t="shared" ca="1" si="0"/>
        <v>10</v>
      </c>
      <c r="M5" s="265">
        <f t="shared" ca="1" si="0"/>
        <v>11</v>
      </c>
      <c r="N5" s="265">
        <f t="shared" ca="1" si="0"/>
        <v>12</v>
      </c>
      <c r="O5" s="265">
        <f t="shared" ca="1" si="0"/>
        <v>13</v>
      </c>
      <c r="P5" s="265">
        <f t="shared" ca="1" si="0"/>
        <v>14</v>
      </c>
      <c r="Q5" s="265">
        <f t="shared" ca="1" si="0"/>
        <v>15</v>
      </c>
      <c r="R5" s="265">
        <f t="shared" ca="1" si="0"/>
        <v>16</v>
      </c>
      <c r="S5" s="265">
        <f t="shared" ca="1" si="0"/>
        <v>17</v>
      </c>
      <c r="T5" s="265">
        <f t="shared" ca="1" si="0"/>
        <v>18</v>
      </c>
      <c r="U5" s="265">
        <f t="shared" ca="1" si="0"/>
        <v>19</v>
      </c>
      <c r="V5" s="265">
        <f t="shared" ca="1" si="0"/>
        <v>20</v>
      </c>
      <c r="W5" s="265">
        <f t="shared" ca="1" si="0"/>
        <v>21</v>
      </c>
      <c r="X5" s="265">
        <f t="shared" ca="1" si="0"/>
        <v>22</v>
      </c>
      <c r="Y5" s="265">
        <f t="shared" ca="1" si="0"/>
        <v>23</v>
      </c>
      <c r="Z5" s="265">
        <f t="shared" ca="1" si="0"/>
        <v>24</v>
      </c>
      <c r="AA5" s="265">
        <f t="shared" ca="1" si="0"/>
        <v>25</v>
      </c>
      <c r="AB5" s="265">
        <f t="shared" ca="1" si="0"/>
        <v>26</v>
      </c>
      <c r="AC5" s="265">
        <f t="shared" ca="1" si="0"/>
        <v>27</v>
      </c>
      <c r="AD5" s="265">
        <f t="shared" ca="1" si="0"/>
        <v>28</v>
      </c>
      <c r="AE5" s="265">
        <f t="shared" ca="1" si="0"/>
        <v>29</v>
      </c>
      <c r="AF5" s="265">
        <f t="shared" ca="1" si="0"/>
        <v>30</v>
      </c>
      <c r="AG5" s="265">
        <f t="shared" ca="1" si="0"/>
        <v>31</v>
      </c>
      <c r="AH5" s="265">
        <f t="shared" ca="1" si="0"/>
        <v>32</v>
      </c>
      <c r="AI5" s="265">
        <f t="shared" ca="1" si="0"/>
        <v>33</v>
      </c>
      <c r="AJ5" s="265">
        <f t="shared" ca="1" si="0"/>
        <v>34</v>
      </c>
      <c r="AK5" s="265">
        <f t="shared" ca="1" si="0"/>
        <v>35</v>
      </c>
      <c r="AL5" s="265">
        <f t="shared" ca="1" si="0"/>
        <v>36</v>
      </c>
      <c r="AM5" s="265">
        <f t="shared" ca="1" si="0"/>
        <v>37</v>
      </c>
      <c r="AN5" s="265">
        <f t="shared" ca="1" si="0"/>
        <v>38</v>
      </c>
      <c r="AO5" s="265">
        <f t="shared" ca="1" si="0"/>
        <v>39</v>
      </c>
      <c r="AP5" s="265">
        <f t="shared" ca="1" si="0"/>
        <v>40</v>
      </c>
      <c r="AQ5" s="265">
        <f t="shared" ca="1" si="0"/>
        <v>41</v>
      </c>
      <c r="AR5" s="265">
        <f t="shared" ca="1" si="0"/>
        <v>42</v>
      </c>
      <c r="AS5" s="265">
        <f t="shared" ca="1" si="0"/>
        <v>43</v>
      </c>
      <c r="AT5" s="265">
        <f t="shared" ca="1" si="0"/>
        <v>44</v>
      </c>
      <c r="AU5" s="265">
        <f t="shared" ca="1" si="0"/>
        <v>45</v>
      </c>
      <c r="AV5" s="265">
        <f t="shared" ca="1" si="0"/>
        <v>46</v>
      </c>
      <c r="AW5" s="265">
        <f t="shared" ca="1" si="0"/>
        <v>47</v>
      </c>
      <c r="AX5" s="265">
        <f t="shared" ca="1" si="0"/>
        <v>48</v>
      </c>
      <c r="AY5" s="265">
        <f t="shared" ca="1" si="0"/>
        <v>49</v>
      </c>
      <c r="AZ5" s="265">
        <f t="shared" ca="1" si="0"/>
        <v>50</v>
      </c>
      <c r="BA5" s="265">
        <f t="shared" ca="1" si="0"/>
        <v>51</v>
      </c>
      <c r="BB5" s="265">
        <f t="shared" ca="1" si="0"/>
        <v>52</v>
      </c>
      <c r="BC5" s="265">
        <f t="shared" ca="1" si="0"/>
        <v>53</v>
      </c>
      <c r="BD5" s="265">
        <f t="shared" ca="1" si="0"/>
        <v>54</v>
      </c>
      <c r="BE5" s="265">
        <f t="shared" ca="1" si="0"/>
        <v>55</v>
      </c>
      <c r="BF5" s="265">
        <f t="shared" ca="1" si="0"/>
        <v>56</v>
      </c>
      <c r="BG5" s="265">
        <f t="shared" ca="1" si="0"/>
        <v>57</v>
      </c>
      <c r="BH5" s="265">
        <f t="shared" ca="1" si="0"/>
        <v>58</v>
      </c>
      <c r="BI5" s="265">
        <f t="shared" ca="1" si="0"/>
        <v>59</v>
      </c>
      <c r="BJ5" s="265">
        <f t="shared" ca="1" si="0"/>
        <v>60</v>
      </c>
      <c r="BK5" s="265">
        <f t="shared" ca="1" si="0"/>
        <v>61</v>
      </c>
      <c r="BL5" s="265">
        <f t="shared" ca="1" si="0"/>
        <v>62</v>
      </c>
      <c r="BM5" s="265">
        <f t="shared" ca="1" si="0"/>
        <v>63</v>
      </c>
      <c r="BN5" s="265">
        <f t="shared" ca="1" si="0"/>
        <v>64</v>
      </c>
      <c r="BO5" s="265">
        <f t="shared" ca="1" si="0"/>
        <v>65</v>
      </c>
      <c r="BP5" s="265">
        <f t="shared" ca="1" si="0"/>
        <v>66</v>
      </c>
      <c r="BQ5" s="265">
        <f ca="1">BP5+1</f>
        <v>67</v>
      </c>
      <c r="BR5" s="265">
        <f ca="1">BQ5+1</f>
        <v>68</v>
      </c>
      <c r="BS5" s="265">
        <f ca="1">BR5+1</f>
        <v>69</v>
      </c>
      <c r="BT5" s="265">
        <f ca="1">BS5+1</f>
        <v>70</v>
      </c>
      <c r="BU5" s="265">
        <f ca="1">BT5+1</f>
        <v>71</v>
      </c>
    </row>
    <row r="6" spans="2:73">
      <c r="B6" s="266" t="s">
        <v>437</v>
      </c>
      <c r="C6" s="168">
        <f ca="1">SUMIFS(試験項目書!$G:$G,試験項目書!$H:$H,集計!C$5)</f>
        <v>0</v>
      </c>
      <c r="D6" s="168">
        <f ca="1">SUMIFS(試験項目書!$G:$G,試験項目書!$H:$H,集計!D$5)</f>
        <v>0</v>
      </c>
      <c r="E6" s="168">
        <f ca="1">SUMIFS(試験項目書!$G:$G,試験項目書!$H:$H,集計!E$5)</f>
        <v>0</v>
      </c>
      <c r="F6" s="168">
        <f ca="1">SUMIFS(試験項目書!$G:$G,試験項目書!$H:$H,集計!F$5)</f>
        <v>0</v>
      </c>
      <c r="G6" s="168">
        <f ca="1">SUMIFS(試験項目書!$G:$G,試験項目書!$H:$H,集計!G$5)</f>
        <v>0</v>
      </c>
      <c r="H6" s="168">
        <f ca="1">SUMIFS(試験項目書!$G:$G,試験項目書!$H:$H,集計!H$5)</f>
        <v>0</v>
      </c>
      <c r="I6" s="168">
        <f ca="1">SUMIFS(試験項目書!$G:$G,試験項目書!$H:$H,集計!I$5)</f>
        <v>0</v>
      </c>
      <c r="J6" s="168">
        <f ca="1">SUMIFS(試験項目書!$G:$G,試験項目書!$H:$H,集計!J$5)</f>
        <v>0</v>
      </c>
      <c r="K6" s="168">
        <f ca="1">SUMIFS(試験項目書!$G:$G,試験項目書!$H:$H,集計!K$5)</f>
        <v>0</v>
      </c>
      <c r="L6" s="168">
        <f ca="1">SUMIFS(試験項目書!$G:$G,試験項目書!$H:$H,集計!L$5)</f>
        <v>0</v>
      </c>
      <c r="M6" s="168">
        <f ca="1">SUMIFS(試験項目書!$G:$G,試験項目書!$H:$H,集計!M$5)</f>
        <v>0</v>
      </c>
      <c r="N6" s="168">
        <f ca="1">SUMIFS(試験項目書!$G:$G,試験項目書!$H:$H,集計!N$5)</f>
        <v>0</v>
      </c>
      <c r="O6" s="168">
        <f ca="1">SUMIFS(試験項目書!$G:$G,試験項目書!$H:$H,集計!O$5)</f>
        <v>0</v>
      </c>
      <c r="P6" s="168">
        <f ca="1">SUMIFS(試験項目書!$G:$G,試験項目書!$H:$H,集計!P$5)</f>
        <v>0</v>
      </c>
      <c r="Q6" s="168">
        <f ca="1">SUMIFS(試験項目書!$G:$G,試験項目書!$H:$H,集計!Q$5)</f>
        <v>0</v>
      </c>
      <c r="R6" s="168">
        <f ca="1">SUMIFS(試験項目書!$G:$G,試験項目書!$H:$H,集計!R$5)</f>
        <v>0</v>
      </c>
      <c r="S6" s="168">
        <f ca="1">SUMIFS(試験項目書!$G:$G,試験項目書!$H:$H,集計!S$5)</f>
        <v>0</v>
      </c>
      <c r="T6" s="168">
        <f ca="1">SUMIFS(試験項目書!$G:$G,試験項目書!$H:$H,集計!T$5)</f>
        <v>0</v>
      </c>
      <c r="U6" s="168">
        <f ca="1">SUMIFS(試験項目書!$G:$G,試験項目書!$H:$H,集計!U$5)</f>
        <v>0</v>
      </c>
      <c r="V6" s="168">
        <f ca="1">SUMIFS(試験項目書!$G:$G,試験項目書!$H:$H,集計!V$5)</f>
        <v>0</v>
      </c>
      <c r="W6" s="168">
        <f ca="1">SUMIFS(試験項目書!$G:$G,試験項目書!$H:$H,集計!W$5)</f>
        <v>0</v>
      </c>
      <c r="X6" s="168">
        <f ca="1">SUMIFS(試験項目書!$G:$G,試験項目書!$H:$H,集計!X$5)</f>
        <v>0</v>
      </c>
      <c r="Y6" s="168">
        <f ca="1">SUMIFS(試験項目書!$G:$G,試験項目書!$H:$H,集計!Y$5)</f>
        <v>0</v>
      </c>
      <c r="Z6" s="168">
        <f ca="1">SUMIFS(試験項目書!$G:$G,試験項目書!$H:$H,集計!Z$5)</f>
        <v>0</v>
      </c>
      <c r="AA6" s="168">
        <f ca="1">SUMIFS(試験項目書!$G:$G,試験項目書!$H:$H,集計!AA$5)</f>
        <v>0</v>
      </c>
      <c r="AB6" s="168">
        <f ca="1">SUMIFS(試験項目書!$G:$G,試験項目書!$H:$H,集計!AB$5)</f>
        <v>0</v>
      </c>
      <c r="AC6" s="168">
        <f ca="1">SUMIFS(試験項目書!$G:$G,試験項目書!$H:$H,集計!AC$5)</f>
        <v>0</v>
      </c>
      <c r="AD6" s="168">
        <f ca="1">SUMIFS(試験項目書!$G:$G,試験項目書!$H:$H,集計!AD$5)</f>
        <v>0</v>
      </c>
      <c r="AE6" s="168">
        <f ca="1">SUMIFS(試験項目書!$G:$G,試験項目書!$H:$H,集計!AE$5)</f>
        <v>0</v>
      </c>
      <c r="AF6" s="168">
        <f ca="1">SUMIFS(試験項目書!$G:$G,試験項目書!$H:$H,集計!AF$5)</f>
        <v>0</v>
      </c>
      <c r="AG6" s="168">
        <f ca="1">SUMIFS(試験項目書!$G:$G,試験項目書!$H:$H,集計!AG$5)</f>
        <v>0</v>
      </c>
      <c r="AH6" s="168">
        <f ca="1">SUMIFS(試験項目書!$G:$G,試験項目書!$H:$H,集計!AH$5)</f>
        <v>0</v>
      </c>
      <c r="AI6" s="168">
        <f ca="1">SUMIFS(試験項目書!$G:$G,試験項目書!$H:$H,集計!AI$5)</f>
        <v>0</v>
      </c>
      <c r="AJ6" s="168">
        <f ca="1">SUMIFS(試験項目書!$G:$G,試験項目書!$H:$H,集計!AJ$5)</f>
        <v>0</v>
      </c>
      <c r="AK6" s="168">
        <f ca="1">SUMIFS(試験項目書!$G:$G,試験項目書!$H:$H,集計!AK$5)</f>
        <v>0</v>
      </c>
      <c r="AL6" s="168">
        <f ca="1">SUMIFS(試験項目書!$G:$G,試験項目書!$H:$H,集計!AL$5)</f>
        <v>0</v>
      </c>
      <c r="AM6" s="168">
        <f ca="1">SUMIFS(試験項目書!$G:$G,試験項目書!$H:$H,集計!AM$5)</f>
        <v>0</v>
      </c>
      <c r="AN6" s="168">
        <f ca="1">SUMIFS(試験項目書!$G:$G,試験項目書!$H:$H,集計!AN$5)</f>
        <v>0</v>
      </c>
      <c r="AO6" s="168">
        <f ca="1">SUMIFS(試験項目書!$G:$G,試験項目書!$H:$H,集計!AO$5)</f>
        <v>0</v>
      </c>
      <c r="AP6" s="168">
        <f ca="1">SUMIFS(試験項目書!$G:$G,試験項目書!$H:$H,集計!AP$5)</f>
        <v>0</v>
      </c>
      <c r="AQ6" s="168">
        <f ca="1">SUMIFS(試験項目書!$G:$G,試験項目書!$H:$H,集計!AQ$5)</f>
        <v>0</v>
      </c>
      <c r="AR6" s="168">
        <f ca="1">SUMIFS(試験項目書!$G:$G,試験項目書!$H:$H,集計!AR$5)</f>
        <v>0</v>
      </c>
      <c r="AS6" s="168">
        <f ca="1">SUMIFS(試験項目書!$G:$G,試験項目書!$H:$H,集計!AS$5)</f>
        <v>0</v>
      </c>
      <c r="AT6" s="168">
        <f ca="1">SUMIFS(試験項目書!$G:$G,試験項目書!$H:$H,集計!AT$5)</f>
        <v>0</v>
      </c>
      <c r="AU6" s="168">
        <f ca="1">SUMIFS(試験項目書!$G:$G,試験項目書!$H:$H,集計!AU$5)</f>
        <v>0</v>
      </c>
      <c r="AV6" s="168">
        <f ca="1">SUMIFS(試験項目書!$G:$G,試験項目書!$H:$H,集計!AV$5)</f>
        <v>0</v>
      </c>
      <c r="AW6" s="168">
        <f ca="1">SUMIFS(試験項目書!$G:$G,試験項目書!$H:$H,集計!AW$5)</f>
        <v>0</v>
      </c>
      <c r="AX6" s="168">
        <f ca="1">SUMIFS(試験項目書!$G:$G,試験項目書!$H:$H,集計!AX$5)</f>
        <v>0</v>
      </c>
      <c r="AY6" s="168">
        <f ca="1">SUMIFS(試験項目書!$G:$G,試験項目書!$H:$H,集計!AY$5)</f>
        <v>0</v>
      </c>
      <c r="AZ6" s="168">
        <f ca="1">SUMIFS(試験項目書!$G:$G,試験項目書!$H:$H,集計!AZ$5)</f>
        <v>0</v>
      </c>
      <c r="BA6" s="168">
        <f ca="1">SUMIFS(試験項目書!$G:$G,試験項目書!$H:$H,集計!BA$5)</f>
        <v>0</v>
      </c>
      <c r="BB6" s="168">
        <f ca="1">SUMIFS(試験項目書!$G:$G,試験項目書!$H:$H,集計!BB$5)</f>
        <v>0</v>
      </c>
      <c r="BC6" s="168">
        <f ca="1">SUMIFS(試験項目書!$G:$G,試験項目書!$H:$H,集計!BC$5)</f>
        <v>0</v>
      </c>
      <c r="BD6" s="168">
        <f ca="1">SUMIFS(試験項目書!$G:$G,試験項目書!$H:$H,集計!BD$5)</f>
        <v>0</v>
      </c>
      <c r="BE6" s="168">
        <f ca="1">SUMIFS(試験項目書!$G:$G,試験項目書!$H:$H,集計!BE$5)</f>
        <v>0</v>
      </c>
      <c r="BF6" s="168">
        <f ca="1">SUMIFS(試験項目書!$G:$G,試験項目書!$H:$H,集計!BF$5)</f>
        <v>0</v>
      </c>
      <c r="BG6" s="168">
        <f ca="1">SUMIFS(試験項目書!$G:$G,試験項目書!$H:$H,集計!BG$5)</f>
        <v>0</v>
      </c>
      <c r="BH6" s="168">
        <f ca="1">SUMIFS(試験項目書!$G:$G,試験項目書!$H:$H,集計!BH$5)</f>
        <v>0</v>
      </c>
      <c r="BI6" s="168">
        <f ca="1">SUMIFS(試験項目書!$G:$G,試験項目書!$H:$H,集計!BI$5)</f>
        <v>0</v>
      </c>
      <c r="BJ6" s="168">
        <f ca="1">SUMIFS(試験項目書!$G:$G,試験項目書!$H:$H,集計!BJ$5)</f>
        <v>0</v>
      </c>
      <c r="BK6" s="168">
        <f ca="1">SUMIFS(試験項目書!$G:$G,試験項目書!$H:$H,集計!BK$5)</f>
        <v>0</v>
      </c>
      <c r="BL6" s="168">
        <f ca="1">SUMIFS(試験項目書!$G:$G,試験項目書!$H:$H,集計!BL$5)</f>
        <v>0</v>
      </c>
      <c r="BM6" s="168">
        <f ca="1">SUMIFS(試験項目書!$G:$G,試験項目書!$H:$H,集計!BM$5)</f>
        <v>0</v>
      </c>
      <c r="BN6" s="168">
        <f ca="1">SUMIFS(試験項目書!$G:$G,試験項目書!$H:$H,集計!BN$5)</f>
        <v>0</v>
      </c>
      <c r="BO6" s="168">
        <f ca="1">SUMIFS(試験項目書!$G:$G,試験項目書!$H:$H,集計!BO$5)</f>
        <v>0</v>
      </c>
      <c r="BP6" s="168">
        <f ca="1">SUMIFS(試験項目書!$G:$G,試験項目書!$H:$H,集計!BP$5)</f>
        <v>0</v>
      </c>
      <c r="BQ6" s="168">
        <f ca="1">SUMIFS(試験項目書!$G:$G,試験項目書!$H:$H,集計!BQ$5)</f>
        <v>0</v>
      </c>
      <c r="BR6" s="168">
        <f ca="1">SUMIFS(試験項目書!$G:$G,試験項目書!$H:$H,集計!BR$5)</f>
        <v>0</v>
      </c>
      <c r="BS6" s="168">
        <f ca="1">SUMIFS(試験項目書!$G:$G,試験項目書!$H:$H,集計!BS$5)</f>
        <v>0</v>
      </c>
      <c r="BT6" s="168">
        <f ca="1">SUMIFS(試験項目書!$G:$G,試験項目書!$H:$H,集計!BT$5)</f>
        <v>0</v>
      </c>
      <c r="BU6" s="168">
        <f ca="1">SUMIFS(試験項目書!$G:$G,試験項目書!$H:$H,集計!BU$5)</f>
        <v>0</v>
      </c>
    </row>
    <row r="7" spans="2:73">
      <c r="B7" s="266" t="s">
        <v>438</v>
      </c>
      <c r="C7" s="168">
        <f ca="1">SUMIFS(試験項目書!$G:$G,試験項目書!$I:$I,集計!C$5)</f>
        <v>0</v>
      </c>
      <c r="D7" s="168">
        <f ca="1">SUMIFS(試験項目書!$G:$G,試験項目書!$I:$I,集計!D$5)</f>
        <v>0</v>
      </c>
      <c r="E7" s="168">
        <f ca="1">SUMIFS(試験項目書!$G:$G,試験項目書!$I:$I,集計!E$5)</f>
        <v>0</v>
      </c>
      <c r="F7" s="168">
        <f ca="1">SUMIFS(試験項目書!$G:$G,試験項目書!$I:$I,集計!F$5)</f>
        <v>0</v>
      </c>
      <c r="G7" s="168">
        <f ca="1">SUMIFS(試験項目書!$G:$G,試験項目書!$I:$I,集計!G$5)</f>
        <v>0</v>
      </c>
      <c r="H7" s="168">
        <f ca="1">SUMIFS(試験項目書!$G:$G,試験項目書!$I:$I,集計!H$5)</f>
        <v>0</v>
      </c>
      <c r="I7" s="168">
        <f ca="1">SUMIFS(試験項目書!$G:$G,試験項目書!$I:$I,集計!I$5)</f>
        <v>0</v>
      </c>
      <c r="J7" s="168">
        <f ca="1">SUMIFS(試験項目書!$G:$G,試験項目書!$I:$I,集計!J$5)</f>
        <v>0</v>
      </c>
      <c r="K7" s="168">
        <f ca="1">SUMIFS(試験項目書!$G:$G,試験項目書!$I:$I,集計!K$5)</f>
        <v>0</v>
      </c>
      <c r="L7" s="168">
        <f ca="1">SUMIFS(試験項目書!$G:$G,試験項目書!$I:$I,集計!L$5)</f>
        <v>0</v>
      </c>
      <c r="M7" s="168">
        <f ca="1">SUMIFS(試験項目書!$G:$G,試験項目書!$I:$I,集計!M$5)</f>
        <v>0</v>
      </c>
      <c r="N7" s="168">
        <f ca="1">SUMIFS(試験項目書!$G:$G,試験項目書!$I:$I,集計!N$5)</f>
        <v>0</v>
      </c>
      <c r="O7" s="168">
        <f ca="1">SUMIFS(試験項目書!$G:$G,試験項目書!$I:$I,集計!O$5)</f>
        <v>0</v>
      </c>
      <c r="P7" s="168">
        <f ca="1">SUMIFS(試験項目書!$G:$G,試験項目書!$I:$I,集計!P$5)</f>
        <v>0</v>
      </c>
      <c r="Q7" s="168">
        <f ca="1">SUMIFS(試験項目書!$G:$G,試験項目書!$I:$I,集計!Q$5)</f>
        <v>0</v>
      </c>
      <c r="R7" s="168">
        <f ca="1">SUMIFS(試験項目書!$G:$G,試験項目書!$I:$I,集計!R$5)</f>
        <v>0</v>
      </c>
      <c r="S7" s="168">
        <f ca="1">SUMIFS(試験項目書!$G:$G,試験項目書!$I:$I,集計!S$5)</f>
        <v>0</v>
      </c>
      <c r="T7" s="168">
        <f ca="1">SUMIFS(試験項目書!$G:$G,試験項目書!$I:$I,集計!T$5)</f>
        <v>0</v>
      </c>
      <c r="U7" s="168">
        <f ca="1">SUMIFS(試験項目書!$G:$G,試験項目書!$I:$I,集計!U$5)</f>
        <v>0</v>
      </c>
      <c r="V7" s="168">
        <f ca="1">SUMIFS(試験項目書!$G:$G,試験項目書!$I:$I,集計!V$5)</f>
        <v>0</v>
      </c>
      <c r="W7" s="168">
        <f ca="1">SUMIFS(試験項目書!$G:$G,試験項目書!$I:$I,集計!W$5)</f>
        <v>0</v>
      </c>
      <c r="X7" s="168">
        <f ca="1">SUMIFS(試験項目書!$G:$G,試験項目書!$I:$I,集計!X$5)</f>
        <v>0</v>
      </c>
      <c r="Y7" s="168">
        <f ca="1">SUMIFS(試験項目書!$G:$G,試験項目書!$I:$I,集計!Y$5)</f>
        <v>0</v>
      </c>
      <c r="Z7" s="168">
        <f ca="1">SUMIFS(試験項目書!$G:$G,試験項目書!$I:$I,集計!Z$5)</f>
        <v>0</v>
      </c>
      <c r="AA7" s="168">
        <f ca="1">SUMIFS(試験項目書!$G:$G,試験項目書!$I:$I,集計!AA$5)</f>
        <v>0</v>
      </c>
      <c r="AB7" s="168">
        <f ca="1">SUMIFS(試験項目書!$G:$G,試験項目書!$I:$I,集計!AB$5)</f>
        <v>0</v>
      </c>
      <c r="AC7" s="168">
        <f ca="1">SUMIFS(試験項目書!$G:$G,試験項目書!$I:$I,集計!AC$5)</f>
        <v>0</v>
      </c>
      <c r="AD7" s="168">
        <f ca="1">SUMIFS(試験項目書!$G:$G,試験項目書!$I:$I,集計!AD$5)</f>
        <v>0</v>
      </c>
      <c r="AE7" s="168">
        <f ca="1">SUMIFS(試験項目書!$G:$G,試験項目書!$I:$I,集計!AE$5)</f>
        <v>0</v>
      </c>
      <c r="AF7" s="168">
        <f ca="1">SUMIFS(試験項目書!$G:$G,試験項目書!$I:$I,集計!AF$5)</f>
        <v>0</v>
      </c>
      <c r="AG7" s="168">
        <f ca="1">SUMIFS(試験項目書!$G:$G,試験項目書!$I:$I,集計!AG$5)</f>
        <v>0</v>
      </c>
      <c r="AH7" s="168">
        <f ca="1">SUMIFS(試験項目書!$G:$G,試験項目書!$I:$I,集計!AH$5)</f>
        <v>0</v>
      </c>
      <c r="AI7" s="168">
        <f ca="1">SUMIFS(試験項目書!$G:$G,試験項目書!$I:$I,集計!AI$5)</f>
        <v>0</v>
      </c>
      <c r="AJ7" s="168">
        <f ca="1">SUMIFS(試験項目書!$G:$G,試験項目書!$I:$I,集計!AJ$5)</f>
        <v>0</v>
      </c>
      <c r="AK7" s="168">
        <f ca="1">SUMIFS(試験項目書!$G:$G,試験項目書!$I:$I,集計!AK$5)</f>
        <v>0</v>
      </c>
      <c r="AL7" s="168">
        <f ca="1">SUMIFS(試験項目書!$G:$G,試験項目書!$I:$I,集計!AL$5)</f>
        <v>0</v>
      </c>
      <c r="AM7" s="168">
        <f ca="1">SUMIFS(試験項目書!$G:$G,試験項目書!$I:$I,集計!AM$5)</f>
        <v>0</v>
      </c>
      <c r="AN7" s="168">
        <f ca="1">SUMIFS(試験項目書!$G:$G,試験項目書!$I:$I,集計!AN$5)</f>
        <v>0</v>
      </c>
      <c r="AO7" s="168">
        <f ca="1">SUMIFS(試験項目書!$G:$G,試験項目書!$I:$I,集計!AO$5)</f>
        <v>0</v>
      </c>
      <c r="AP7" s="168">
        <f ca="1">SUMIFS(試験項目書!$G:$G,試験項目書!$I:$I,集計!AP$5)</f>
        <v>0</v>
      </c>
      <c r="AQ7" s="168">
        <f ca="1">SUMIFS(試験項目書!$G:$G,試験項目書!$I:$I,集計!AQ$5)</f>
        <v>0</v>
      </c>
      <c r="AR7" s="168">
        <f ca="1">SUMIFS(試験項目書!$G:$G,試験項目書!$I:$I,集計!AR$5)</f>
        <v>0</v>
      </c>
      <c r="AS7" s="168">
        <f ca="1">SUMIFS(試験項目書!$G:$G,試験項目書!$I:$I,集計!AS$5)</f>
        <v>0</v>
      </c>
      <c r="AT7" s="168">
        <f ca="1">SUMIFS(試験項目書!$G:$G,試験項目書!$I:$I,集計!AT$5)</f>
        <v>0</v>
      </c>
      <c r="AU7" s="168">
        <f ca="1">SUMIFS(試験項目書!$G:$G,試験項目書!$I:$I,集計!AU$5)</f>
        <v>0</v>
      </c>
      <c r="AV7" s="168">
        <f ca="1">SUMIFS(試験項目書!$G:$G,試験項目書!$I:$I,集計!AV$5)</f>
        <v>0</v>
      </c>
      <c r="AW7" s="168">
        <f ca="1">SUMIFS(試験項目書!$G:$G,試験項目書!$I:$I,集計!AW$5)</f>
        <v>0</v>
      </c>
      <c r="AX7" s="168">
        <f ca="1">SUMIFS(試験項目書!$G:$G,試験項目書!$I:$I,集計!AX$5)</f>
        <v>0</v>
      </c>
      <c r="AY7" s="168">
        <f ca="1">SUMIFS(試験項目書!$G:$G,試験項目書!$I:$I,集計!AY$5)</f>
        <v>0</v>
      </c>
      <c r="AZ7" s="168">
        <f ca="1">SUMIFS(試験項目書!$G:$G,試験項目書!$I:$I,集計!AZ$5)</f>
        <v>0</v>
      </c>
      <c r="BA7" s="168">
        <f ca="1">SUMIFS(試験項目書!$G:$G,試験項目書!$I:$I,集計!BA$5)</f>
        <v>0</v>
      </c>
      <c r="BB7" s="168">
        <f ca="1">SUMIFS(試験項目書!$G:$G,試験項目書!$I:$I,集計!BB$5)</f>
        <v>0</v>
      </c>
      <c r="BC7" s="168">
        <f ca="1">SUMIFS(試験項目書!$G:$G,試験項目書!$I:$I,集計!BC$5)</f>
        <v>0</v>
      </c>
      <c r="BD7" s="168">
        <f ca="1">SUMIFS(試験項目書!$G:$G,試験項目書!$I:$I,集計!BD$5)</f>
        <v>0</v>
      </c>
      <c r="BE7" s="168">
        <f ca="1">SUMIFS(試験項目書!$G:$G,試験項目書!$I:$I,集計!BE$5)</f>
        <v>0</v>
      </c>
      <c r="BF7" s="168">
        <f ca="1">SUMIFS(試験項目書!$G:$G,試験項目書!$I:$I,集計!BF$5)</f>
        <v>0</v>
      </c>
      <c r="BG7" s="168">
        <f ca="1">SUMIFS(試験項目書!$G:$G,試験項目書!$I:$I,集計!BG$5)</f>
        <v>0</v>
      </c>
      <c r="BH7" s="168">
        <f ca="1">SUMIFS(試験項目書!$G:$G,試験項目書!$I:$I,集計!BH$5)</f>
        <v>0</v>
      </c>
      <c r="BI7" s="168">
        <f ca="1">SUMIFS(試験項目書!$G:$G,試験項目書!$I:$I,集計!BI$5)</f>
        <v>0</v>
      </c>
      <c r="BJ7" s="168">
        <f ca="1">SUMIFS(試験項目書!$G:$G,試験項目書!$I:$I,集計!BJ$5)</f>
        <v>0</v>
      </c>
      <c r="BK7" s="168">
        <f ca="1">SUMIFS(試験項目書!$G:$G,試験項目書!$I:$I,集計!BK$5)</f>
        <v>0</v>
      </c>
      <c r="BL7" s="168">
        <f ca="1">SUMIFS(試験項目書!$G:$G,試験項目書!$I:$I,集計!BL$5)</f>
        <v>0</v>
      </c>
      <c r="BM7" s="168">
        <f ca="1">SUMIFS(試験項目書!$G:$G,試験項目書!$I:$I,集計!BM$5)</f>
        <v>0</v>
      </c>
      <c r="BN7" s="168">
        <f ca="1">SUMIFS(試験項目書!$G:$G,試験項目書!$I:$I,集計!BN$5)</f>
        <v>0</v>
      </c>
      <c r="BO7" s="168">
        <f ca="1">SUMIFS(試験項目書!$G:$G,試験項目書!$I:$I,集計!BO$5)</f>
        <v>0</v>
      </c>
      <c r="BP7" s="168">
        <f ca="1">SUMIFS(試験項目書!$G:$G,試験項目書!$I:$I,集計!BP$5)</f>
        <v>0</v>
      </c>
      <c r="BQ7" s="168">
        <f ca="1">SUMIFS(試験項目書!$G:$G,試験項目書!$I:$I,集計!BQ$5)</f>
        <v>0</v>
      </c>
      <c r="BR7" s="168">
        <f ca="1">SUMIFS(試験項目書!$G:$G,試験項目書!$I:$I,集計!BR$5)</f>
        <v>0</v>
      </c>
      <c r="BS7" s="168">
        <f ca="1">SUMIFS(試験項目書!$G:$G,試験項目書!$I:$I,集計!BS$5)</f>
        <v>0</v>
      </c>
      <c r="BT7" s="168">
        <f ca="1">SUMIFS(試験項目書!$G:$G,試験項目書!$I:$I,集計!BT$5)</f>
        <v>0</v>
      </c>
      <c r="BU7" s="168">
        <f ca="1">SUMIFS(試験項目書!$G:$G,試験項目書!$I:$I,集計!BU$5)</f>
        <v>0</v>
      </c>
    </row>
    <row r="8" spans="2:73">
      <c r="B8" s="266" t="s">
        <v>439</v>
      </c>
      <c r="C8" s="168">
        <f ca="1">$C$2-C7</f>
        <v>1</v>
      </c>
      <c r="D8" s="168">
        <f ca="1">C8-D7</f>
        <v>1</v>
      </c>
      <c r="E8" s="168">
        <f t="shared" ref="E8:R8" ca="1" si="1">D8-E7</f>
        <v>1</v>
      </c>
      <c r="F8" s="168">
        <f t="shared" ca="1" si="1"/>
        <v>1</v>
      </c>
      <c r="G8" s="168">
        <f t="shared" ca="1" si="1"/>
        <v>1</v>
      </c>
      <c r="H8" s="168">
        <f t="shared" ca="1" si="1"/>
        <v>1</v>
      </c>
      <c r="I8" s="168">
        <f t="shared" ca="1" si="1"/>
        <v>1</v>
      </c>
      <c r="J8" s="168">
        <f t="shared" ca="1" si="1"/>
        <v>1</v>
      </c>
      <c r="K8" s="168">
        <f t="shared" ca="1" si="1"/>
        <v>1</v>
      </c>
      <c r="L8" s="168">
        <f t="shared" ca="1" si="1"/>
        <v>1</v>
      </c>
      <c r="M8" s="168">
        <f t="shared" ca="1" si="1"/>
        <v>1</v>
      </c>
      <c r="N8" s="168">
        <f t="shared" ca="1" si="1"/>
        <v>1</v>
      </c>
      <c r="O8" s="168">
        <f t="shared" ca="1" si="1"/>
        <v>1</v>
      </c>
      <c r="P8" s="168">
        <f t="shared" ca="1" si="1"/>
        <v>1</v>
      </c>
      <c r="Q8" s="168">
        <f t="shared" ca="1" si="1"/>
        <v>1</v>
      </c>
      <c r="R8" s="168">
        <f t="shared" ca="1" si="1"/>
        <v>1</v>
      </c>
      <c r="S8" s="168">
        <f ca="1">R8-S7</f>
        <v>1</v>
      </c>
      <c r="T8" s="168">
        <f t="shared" ref="T8:BU8" ca="1" si="2">S8-T7</f>
        <v>1</v>
      </c>
      <c r="U8" s="168">
        <f t="shared" ca="1" si="2"/>
        <v>1</v>
      </c>
      <c r="V8" s="168">
        <f t="shared" ca="1" si="2"/>
        <v>1</v>
      </c>
      <c r="W8" s="168">
        <f t="shared" ca="1" si="2"/>
        <v>1</v>
      </c>
      <c r="X8" s="168">
        <f t="shared" ca="1" si="2"/>
        <v>1</v>
      </c>
      <c r="Y8" s="168">
        <f t="shared" ca="1" si="2"/>
        <v>1</v>
      </c>
      <c r="Z8" s="168">
        <f t="shared" ca="1" si="2"/>
        <v>1</v>
      </c>
      <c r="AA8" s="168">
        <f t="shared" ca="1" si="2"/>
        <v>1</v>
      </c>
      <c r="AB8" s="168">
        <f t="shared" ca="1" si="2"/>
        <v>1</v>
      </c>
      <c r="AC8" s="168">
        <f t="shared" ca="1" si="2"/>
        <v>1</v>
      </c>
      <c r="AD8" s="168">
        <f t="shared" ca="1" si="2"/>
        <v>1</v>
      </c>
      <c r="AE8" s="168">
        <f t="shared" ca="1" si="2"/>
        <v>1</v>
      </c>
      <c r="AF8" s="168">
        <f t="shared" ca="1" si="2"/>
        <v>1</v>
      </c>
      <c r="AG8" s="168">
        <f t="shared" ca="1" si="2"/>
        <v>1</v>
      </c>
      <c r="AH8" s="168">
        <f t="shared" ca="1" si="2"/>
        <v>1</v>
      </c>
      <c r="AI8" s="168">
        <f t="shared" ca="1" si="2"/>
        <v>1</v>
      </c>
      <c r="AJ8" s="168">
        <f t="shared" ca="1" si="2"/>
        <v>1</v>
      </c>
      <c r="AK8" s="168">
        <f t="shared" ca="1" si="2"/>
        <v>1</v>
      </c>
      <c r="AL8" s="168">
        <f t="shared" ca="1" si="2"/>
        <v>1</v>
      </c>
      <c r="AM8" s="168">
        <f t="shared" ca="1" si="2"/>
        <v>1</v>
      </c>
      <c r="AN8" s="168">
        <f t="shared" ca="1" si="2"/>
        <v>1</v>
      </c>
      <c r="AO8" s="168">
        <f t="shared" ca="1" si="2"/>
        <v>1</v>
      </c>
      <c r="AP8" s="168">
        <f t="shared" ca="1" si="2"/>
        <v>1</v>
      </c>
      <c r="AQ8" s="168">
        <f t="shared" ca="1" si="2"/>
        <v>1</v>
      </c>
      <c r="AR8" s="168">
        <f t="shared" ca="1" si="2"/>
        <v>1</v>
      </c>
      <c r="AS8" s="168">
        <f t="shared" ca="1" si="2"/>
        <v>1</v>
      </c>
      <c r="AT8" s="168">
        <f t="shared" ca="1" si="2"/>
        <v>1</v>
      </c>
      <c r="AU8" s="168">
        <f t="shared" ca="1" si="2"/>
        <v>1</v>
      </c>
      <c r="AV8" s="168">
        <f t="shared" ca="1" si="2"/>
        <v>1</v>
      </c>
      <c r="AW8" s="168">
        <f t="shared" ca="1" si="2"/>
        <v>1</v>
      </c>
      <c r="AX8" s="168">
        <f t="shared" ca="1" si="2"/>
        <v>1</v>
      </c>
      <c r="AY8" s="168">
        <f t="shared" ca="1" si="2"/>
        <v>1</v>
      </c>
      <c r="AZ8" s="168">
        <f t="shared" ca="1" si="2"/>
        <v>1</v>
      </c>
      <c r="BA8" s="168">
        <f t="shared" ca="1" si="2"/>
        <v>1</v>
      </c>
      <c r="BB8" s="168">
        <f t="shared" ca="1" si="2"/>
        <v>1</v>
      </c>
      <c r="BC8" s="168">
        <f t="shared" ca="1" si="2"/>
        <v>1</v>
      </c>
      <c r="BD8" s="168">
        <f t="shared" ca="1" si="2"/>
        <v>1</v>
      </c>
      <c r="BE8" s="168">
        <f t="shared" ca="1" si="2"/>
        <v>1</v>
      </c>
      <c r="BF8" s="168">
        <f t="shared" ca="1" si="2"/>
        <v>1</v>
      </c>
      <c r="BG8" s="168">
        <f t="shared" ca="1" si="2"/>
        <v>1</v>
      </c>
      <c r="BH8" s="168">
        <f t="shared" ca="1" si="2"/>
        <v>1</v>
      </c>
      <c r="BI8" s="168">
        <f t="shared" ca="1" si="2"/>
        <v>1</v>
      </c>
      <c r="BJ8" s="168">
        <f t="shared" ca="1" si="2"/>
        <v>1</v>
      </c>
      <c r="BK8" s="168">
        <f t="shared" ca="1" si="2"/>
        <v>1</v>
      </c>
      <c r="BL8" s="168">
        <f t="shared" ca="1" si="2"/>
        <v>1</v>
      </c>
      <c r="BM8" s="168">
        <f t="shared" ca="1" si="2"/>
        <v>1</v>
      </c>
      <c r="BN8" s="168">
        <f t="shared" ca="1" si="2"/>
        <v>1</v>
      </c>
      <c r="BO8" s="168">
        <f t="shared" ca="1" si="2"/>
        <v>1</v>
      </c>
      <c r="BP8" s="168">
        <f t="shared" ca="1" si="2"/>
        <v>1</v>
      </c>
      <c r="BQ8" s="168">
        <f t="shared" ca="1" si="2"/>
        <v>1</v>
      </c>
      <c r="BR8" s="168">
        <f t="shared" ca="1" si="2"/>
        <v>1</v>
      </c>
      <c r="BS8" s="168">
        <f t="shared" ca="1" si="2"/>
        <v>1</v>
      </c>
      <c r="BT8" s="168">
        <f t="shared" ca="1" si="2"/>
        <v>1</v>
      </c>
      <c r="BU8" s="168">
        <f t="shared" ca="1" si="2"/>
        <v>1</v>
      </c>
    </row>
    <row r="9" spans="2:73">
      <c r="B9" s="165" t="s">
        <v>437</v>
      </c>
      <c r="C9" s="168">
        <f ca="1">SUMIFS(試験項目書!$Q:$Q,試験項目書!$AA:$AA,集計!C$5)</f>
        <v>0</v>
      </c>
      <c r="D9" s="168">
        <f ca="1">SUMIFS(試験項目書!$Q:$Q,試験項目書!$AA:$AA,集計!D$5)</f>
        <v>0</v>
      </c>
      <c r="E9" s="168">
        <f ca="1">SUMIFS(試験項目書!$Q:$Q,試験項目書!$AA:$AA,集計!E$5)</f>
        <v>0</v>
      </c>
      <c r="F9" s="168">
        <f ca="1">SUMIFS(試験項目書!$Q:$Q,試験項目書!$AA:$AA,集計!F$5)</f>
        <v>0</v>
      </c>
      <c r="G9" s="168">
        <f ca="1">SUMIFS(試験項目書!$Q:$Q,試験項目書!$AA:$AA,集計!G$5)</f>
        <v>0</v>
      </c>
      <c r="H9" s="168">
        <f ca="1">SUMIFS(試験項目書!$Q:$Q,試験項目書!$AA:$AA,集計!H$5)</f>
        <v>0</v>
      </c>
      <c r="I9" s="168">
        <f ca="1">SUMIFS(試験項目書!$Q:$Q,試験項目書!$AA:$AA,集計!I$5)</f>
        <v>0</v>
      </c>
      <c r="J9" s="168">
        <f ca="1">SUMIFS(試験項目書!$Q:$Q,試験項目書!$AA:$AA,集計!J$5)</f>
        <v>0</v>
      </c>
      <c r="K9" s="168">
        <f ca="1">SUMIFS(試験項目書!$Q:$Q,試験項目書!$AA:$AA,集計!K$5)</f>
        <v>0</v>
      </c>
      <c r="L9" s="168">
        <f ca="1">SUMIFS(試験項目書!$Q:$Q,試験項目書!$AA:$AA,集計!L$5)</f>
        <v>0</v>
      </c>
      <c r="M9" s="168">
        <f ca="1">SUMIFS(試験項目書!$Q:$Q,試験項目書!$AA:$AA,集計!M$5)</f>
        <v>0</v>
      </c>
      <c r="N9" s="168">
        <f ca="1">SUMIFS(試験項目書!$Q:$Q,試験項目書!$AA:$AA,集計!N$5)</f>
        <v>0</v>
      </c>
      <c r="O9" s="168">
        <f ca="1">SUMIFS(試験項目書!$Q:$Q,試験項目書!$AA:$AA,集計!O$5)</f>
        <v>0</v>
      </c>
      <c r="P9" s="168">
        <f ca="1">SUMIFS(試験項目書!$Q:$Q,試験項目書!$AA:$AA,集計!P$5)</f>
        <v>0</v>
      </c>
      <c r="Q9" s="168">
        <f ca="1">SUMIFS(試験項目書!$Q:$Q,試験項目書!$AA:$AA,集計!Q$5)</f>
        <v>0</v>
      </c>
      <c r="R9" s="168">
        <f ca="1">SUMIFS(試験項目書!$Q:$Q,試験項目書!$AA:$AA,集計!R$5)</f>
        <v>0</v>
      </c>
      <c r="S9" s="168">
        <f ca="1">SUMIFS(試験項目書!$Q:$Q,試験項目書!$AA:$AA,集計!S$5)</f>
        <v>0</v>
      </c>
      <c r="T9" s="168">
        <f ca="1">SUMIFS(試験項目書!$Q:$Q,試験項目書!$AA:$AA,集計!T$5)</f>
        <v>0</v>
      </c>
      <c r="U9" s="168">
        <f ca="1">SUMIFS(試験項目書!$Q:$Q,試験項目書!$AA:$AA,集計!U$5)</f>
        <v>0</v>
      </c>
      <c r="V9" s="168">
        <f ca="1">SUMIFS(試験項目書!$Q:$Q,試験項目書!$AA:$AA,集計!V$5)</f>
        <v>0</v>
      </c>
      <c r="W9" s="168">
        <f ca="1">SUMIFS(試験項目書!$Q:$Q,試験項目書!$AA:$AA,集計!W$5)</f>
        <v>0</v>
      </c>
      <c r="X9" s="168">
        <f ca="1">SUMIFS(試験項目書!$Q:$Q,試験項目書!$AA:$AA,集計!X$5)</f>
        <v>0</v>
      </c>
      <c r="Y9" s="168">
        <f ca="1">SUMIFS(試験項目書!$Q:$Q,試験項目書!$AA:$AA,集計!Y$5)</f>
        <v>0</v>
      </c>
      <c r="Z9" s="168">
        <f ca="1">SUMIFS(試験項目書!$Q:$Q,試験項目書!$AA:$AA,集計!Z$5)</f>
        <v>0</v>
      </c>
      <c r="AA9" s="168">
        <f ca="1">SUMIFS(試験項目書!$Q:$Q,試験項目書!$AA:$AA,集計!AA$5)</f>
        <v>0</v>
      </c>
      <c r="AB9" s="168">
        <f ca="1">SUMIFS(試験項目書!$Q:$Q,試験項目書!$AA:$AA,集計!AB$5)</f>
        <v>0</v>
      </c>
      <c r="AC9" s="168">
        <f ca="1">SUMIFS(試験項目書!$Q:$Q,試験項目書!$AA:$AA,集計!AC$5)</f>
        <v>0</v>
      </c>
      <c r="AD9" s="168">
        <f ca="1">SUMIFS(試験項目書!$Q:$Q,試験項目書!$AA:$AA,集計!AD$5)</f>
        <v>0</v>
      </c>
      <c r="AE9" s="168">
        <f ca="1">SUMIFS(試験項目書!$Q:$Q,試験項目書!$AA:$AA,集計!AE$5)</f>
        <v>0</v>
      </c>
      <c r="AF9" s="168">
        <f ca="1">SUMIFS(試験項目書!$Q:$Q,試験項目書!$AA:$AA,集計!AF$5)</f>
        <v>0</v>
      </c>
      <c r="AG9" s="168">
        <f ca="1">SUMIFS(試験項目書!$Q:$Q,試験項目書!$AA:$AA,集計!AG$5)</f>
        <v>0</v>
      </c>
      <c r="AH9" s="168">
        <f ca="1">SUMIFS(試験項目書!$Q:$Q,試験項目書!$AA:$AA,集計!AH$5)</f>
        <v>0</v>
      </c>
      <c r="AI9" s="168">
        <f ca="1">SUMIFS(試験項目書!$Q:$Q,試験項目書!$AA:$AA,集計!AI$5)</f>
        <v>0</v>
      </c>
      <c r="AJ9" s="168">
        <f ca="1">SUMIFS(試験項目書!$Q:$Q,試験項目書!$AA:$AA,集計!AJ$5)</f>
        <v>0</v>
      </c>
      <c r="AK9" s="168">
        <f ca="1">SUMIFS(試験項目書!$Q:$Q,試験項目書!$AA:$AA,集計!AK$5)</f>
        <v>0</v>
      </c>
      <c r="AL9" s="168">
        <f ca="1">SUMIFS(試験項目書!$Q:$Q,試験項目書!$AA:$AA,集計!AL$5)</f>
        <v>0</v>
      </c>
      <c r="AM9" s="168">
        <f ca="1">SUMIFS(試験項目書!$Q:$Q,試験項目書!$AA:$AA,集計!AM$5)</f>
        <v>0</v>
      </c>
      <c r="AN9" s="168">
        <f ca="1">SUMIFS(試験項目書!$Q:$Q,試験項目書!$AA:$AA,集計!AN$5)</f>
        <v>0</v>
      </c>
      <c r="AO9" s="168">
        <f ca="1">SUMIFS(試験項目書!$Q:$Q,試験項目書!$AA:$AA,集計!AO$5)</f>
        <v>0</v>
      </c>
      <c r="AP9" s="168">
        <f ca="1">SUMIFS(試験項目書!$Q:$Q,試験項目書!$AA:$AA,集計!AP$5)</f>
        <v>0</v>
      </c>
      <c r="AQ9" s="168">
        <f ca="1">SUMIFS(試験項目書!$Q:$Q,試験項目書!$AA:$AA,集計!AQ$5)</f>
        <v>0</v>
      </c>
      <c r="AR9" s="168">
        <f ca="1">SUMIFS(試験項目書!$Q:$Q,試験項目書!$AA:$AA,集計!AR$5)</f>
        <v>0</v>
      </c>
      <c r="AS9" s="168">
        <f ca="1">SUMIFS(試験項目書!$Q:$Q,試験項目書!$AA:$AA,集計!AS$5)</f>
        <v>0</v>
      </c>
      <c r="AT9" s="168">
        <f ca="1">SUMIFS(試験項目書!$Q:$Q,試験項目書!$AA:$AA,集計!AT$5)</f>
        <v>0</v>
      </c>
      <c r="AU9" s="168">
        <f ca="1">SUMIFS(試験項目書!$Q:$Q,試験項目書!$AA:$AA,集計!AU$5)</f>
        <v>0</v>
      </c>
      <c r="AV9" s="168">
        <f ca="1">SUMIFS(試験項目書!$Q:$Q,試験項目書!$AA:$AA,集計!AV$5)</f>
        <v>0</v>
      </c>
      <c r="AW9" s="168">
        <f ca="1">SUMIFS(試験項目書!$Q:$Q,試験項目書!$AA:$AA,集計!AW$5)</f>
        <v>0</v>
      </c>
      <c r="AX9" s="168">
        <f ca="1">SUMIFS(試験項目書!$Q:$Q,試験項目書!$AA:$AA,集計!AX$5)</f>
        <v>0</v>
      </c>
      <c r="AY9" s="168">
        <f ca="1">SUMIFS(試験項目書!$Q:$Q,試験項目書!$AA:$AA,集計!AY$5)</f>
        <v>0</v>
      </c>
      <c r="AZ9" s="168">
        <f ca="1">SUMIFS(試験項目書!$Q:$Q,試験項目書!$AA:$AA,集計!AZ$5)</f>
        <v>0</v>
      </c>
      <c r="BA9" s="168">
        <f ca="1">SUMIFS(試験項目書!$Q:$Q,試験項目書!$AA:$AA,集計!BA$5)</f>
        <v>0</v>
      </c>
      <c r="BB9" s="168">
        <f ca="1">SUMIFS(試験項目書!$Q:$Q,試験項目書!$AA:$AA,集計!BB$5)</f>
        <v>0</v>
      </c>
      <c r="BC9" s="168">
        <f ca="1">SUMIFS(試験項目書!$Q:$Q,試験項目書!$AA:$AA,集計!BC$5)</f>
        <v>0</v>
      </c>
      <c r="BD9" s="168">
        <f ca="1">SUMIFS(試験項目書!$Q:$Q,試験項目書!$AA:$AA,集計!BD$5)</f>
        <v>0</v>
      </c>
      <c r="BE9" s="168">
        <f ca="1">SUMIFS(試験項目書!$Q:$Q,試験項目書!$AA:$AA,集計!BE$5)</f>
        <v>0</v>
      </c>
      <c r="BF9" s="168">
        <f ca="1">SUMIFS(試験項目書!$Q:$Q,試験項目書!$AA:$AA,集計!BF$5)</f>
        <v>0</v>
      </c>
      <c r="BG9" s="168">
        <f ca="1">SUMIFS(試験項目書!$Q:$Q,試験項目書!$AA:$AA,集計!BG$5)</f>
        <v>0</v>
      </c>
      <c r="BH9" s="168">
        <f ca="1">SUMIFS(試験項目書!$Q:$Q,試験項目書!$AA:$AA,集計!BH$5)</f>
        <v>0</v>
      </c>
      <c r="BI9" s="168">
        <f ca="1">SUMIFS(試験項目書!$Q:$Q,試験項目書!$AA:$AA,集計!BI$5)</f>
        <v>0</v>
      </c>
      <c r="BJ9" s="168">
        <f ca="1">SUMIFS(試験項目書!$Q:$Q,試験項目書!$AA:$AA,集計!BJ$5)</f>
        <v>0</v>
      </c>
      <c r="BK9" s="168">
        <f ca="1">SUMIFS(試験項目書!$Q:$Q,試験項目書!$AA:$AA,集計!BK$5)</f>
        <v>0</v>
      </c>
      <c r="BL9" s="168">
        <f ca="1">SUMIFS(試験項目書!$Q:$Q,試験項目書!$AA:$AA,集計!BL$5)</f>
        <v>0</v>
      </c>
      <c r="BM9" s="168">
        <f ca="1">SUMIFS(試験項目書!$Q:$Q,試験項目書!$AA:$AA,集計!BM$5)</f>
        <v>0</v>
      </c>
      <c r="BN9" s="168">
        <f ca="1">SUMIFS(試験項目書!$Q:$Q,試験項目書!$AA:$AA,集計!BN$5)</f>
        <v>0</v>
      </c>
      <c r="BO9" s="168">
        <f ca="1">SUMIFS(試験項目書!$Q:$Q,試験項目書!$AA:$AA,集計!BO$5)</f>
        <v>0</v>
      </c>
      <c r="BP9" s="168">
        <f ca="1">SUMIFS(試験項目書!$Q:$Q,試験項目書!$AA:$AA,集計!BP$5)</f>
        <v>0</v>
      </c>
      <c r="BQ9" s="168">
        <f ca="1">SUMIFS(試験項目書!$Q:$Q,試験項目書!$AA:$AA,集計!BQ$5)</f>
        <v>0</v>
      </c>
      <c r="BR9" s="168">
        <f ca="1">SUMIFS(試験項目書!$Q:$Q,試験項目書!$AA:$AA,集計!BR$5)</f>
        <v>0</v>
      </c>
      <c r="BS9" s="168">
        <f ca="1">SUMIFS(試験項目書!$Q:$Q,試験項目書!$AA:$AA,集計!BS$5)</f>
        <v>0</v>
      </c>
      <c r="BT9" s="168">
        <f ca="1">SUMIFS(試験項目書!$Q:$Q,試験項目書!$AA:$AA,集計!BT$5)</f>
        <v>0</v>
      </c>
      <c r="BU9" s="168">
        <f ca="1">SUMIFS(試験項目書!$Q:$Q,試験項目書!$AA:$AA,集計!BU$5)</f>
        <v>0</v>
      </c>
    </row>
    <row r="10" spans="2:73">
      <c r="B10" s="165" t="s">
        <v>438</v>
      </c>
      <c r="C10" s="168">
        <f ca="1">SUMIFS(試験項目書!$Q:$Q,試験項目書!$AF:$AF,集計!C$5)</f>
        <v>0</v>
      </c>
      <c r="D10" s="168">
        <f ca="1">SUMIFS(試験項目書!$Q:$Q,試験項目書!$AF:$AF,集計!D$5)</f>
        <v>0</v>
      </c>
      <c r="E10" s="168">
        <f ca="1">SUMIFS(試験項目書!$Q:$Q,試験項目書!$AF:$AF,集計!E$5)</f>
        <v>0</v>
      </c>
      <c r="F10" s="168">
        <f ca="1">SUMIFS(試験項目書!$Q:$Q,試験項目書!$AF:$AF,集計!F$5)</f>
        <v>0</v>
      </c>
      <c r="G10" s="168">
        <f ca="1">SUMIFS(試験項目書!$Q:$Q,試験項目書!$AF:$AF,集計!G$5)</f>
        <v>0</v>
      </c>
      <c r="H10" s="168">
        <f ca="1">SUMIFS(試験項目書!$Q:$Q,試験項目書!$AF:$AF,集計!H$5)</f>
        <v>0</v>
      </c>
      <c r="I10" s="168">
        <f ca="1">SUMIFS(試験項目書!$Q:$Q,試験項目書!$AF:$AF,集計!I$5)</f>
        <v>0</v>
      </c>
      <c r="J10" s="168">
        <f ca="1">SUMIFS(試験項目書!$Q:$Q,試験項目書!$AF:$AF,集計!J$5)</f>
        <v>0</v>
      </c>
      <c r="K10" s="168">
        <f ca="1">SUMIFS(試験項目書!$Q:$Q,試験項目書!$AF:$AF,集計!K$5)</f>
        <v>0</v>
      </c>
      <c r="L10" s="168">
        <f ca="1">SUMIFS(試験項目書!$Q:$Q,試験項目書!$AF:$AF,集計!L$5)</f>
        <v>0</v>
      </c>
      <c r="M10" s="168">
        <f ca="1">SUMIFS(試験項目書!$Q:$Q,試験項目書!$AF:$AF,集計!M$5)</f>
        <v>0</v>
      </c>
      <c r="N10" s="168">
        <f ca="1">SUMIFS(試験項目書!$Q:$Q,試験項目書!$AF:$AF,集計!N$5)</f>
        <v>0</v>
      </c>
      <c r="O10" s="168">
        <f ca="1">SUMIFS(試験項目書!$Q:$Q,試験項目書!$AF:$AF,集計!O$5)</f>
        <v>0</v>
      </c>
      <c r="P10" s="168">
        <f ca="1">SUMIFS(試験項目書!$Q:$Q,試験項目書!$AF:$AF,集計!P$5)</f>
        <v>0</v>
      </c>
      <c r="Q10" s="168">
        <f ca="1">SUMIFS(試験項目書!$Q:$Q,試験項目書!$AF:$AF,集計!Q$5)</f>
        <v>0</v>
      </c>
      <c r="R10" s="168">
        <f ca="1">SUMIFS(試験項目書!$Q:$Q,試験項目書!$AF:$AF,集計!R$5)</f>
        <v>0</v>
      </c>
      <c r="S10" s="168">
        <f ca="1">SUMIFS(試験項目書!$Q:$Q,試験項目書!$AF:$AF,集計!S$5)</f>
        <v>0</v>
      </c>
      <c r="T10" s="168">
        <f ca="1">SUMIFS(試験項目書!$Q:$Q,試験項目書!$AF:$AF,集計!T$5)</f>
        <v>0</v>
      </c>
      <c r="U10" s="168">
        <f ca="1">SUMIFS(試験項目書!$Q:$Q,試験項目書!$AF:$AF,集計!U$5)</f>
        <v>0</v>
      </c>
      <c r="V10" s="168">
        <f ca="1">SUMIFS(試験項目書!$Q:$Q,試験項目書!$AF:$AF,集計!V$5)</f>
        <v>0</v>
      </c>
      <c r="W10" s="168">
        <f ca="1">SUMIFS(試験項目書!$Q:$Q,試験項目書!$AF:$AF,集計!W$5)</f>
        <v>0</v>
      </c>
      <c r="X10" s="168">
        <f ca="1">SUMIFS(試験項目書!$Q:$Q,試験項目書!$AF:$AF,集計!X$5)</f>
        <v>0</v>
      </c>
      <c r="Y10" s="168">
        <f ca="1">SUMIFS(試験項目書!$Q:$Q,試験項目書!$AF:$AF,集計!Y$5)</f>
        <v>0</v>
      </c>
      <c r="Z10" s="168">
        <f ca="1">SUMIFS(試験項目書!$Q:$Q,試験項目書!$AF:$AF,集計!Z$5)</f>
        <v>0</v>
      </c>
      <c r="AA10" s="168">
        <f ca="1">SUMIFS(試験項目書!$Q:$Q,試験項目書!$AF:$AF,集計!AA$5)</f>
        <v>0</v>
      </c>
      <c r="AB10" s="168">
        <f ca="1">SUMIFS(試験項目書!$Q:$Q,試験項目書!$AF:$AF,集計!AB$5)</f>
        <v>0</v>
      </c>
      <c r="AC10" s="168">
        <f ca="1">SUMIFS(試験項目書!$Q:$Q,試験項目書!$AF:$AF,集計!AC$5)</f>
        <v>0</v>
      </c>
      <c r="AD10" s="168">
        <f ca="1">SUMIFS(試験項目書!$Q:$Q,試験項目書!$AF:$AF,集計!AD$5)</f>
        <v>0</v>
      </c>
      <c r="AE10" s="168">
        <f ca="1">SUMIFS(試験項目書!$Q:$Q,試験項目書!$AF:$AF,集計!AE$5)</f>
        <v>0</v>
      </c>
      <c r="AF10" s="168">
        <f ca="1">SUMIFS(試験項目書!$Q:$Q,試験項目書!$AF:$AF,集計!AF$5)</f>
        <v>0</v>
      </c>
      <c r="AG10" s="168">
        <f ca="1">SUMIFS(試験項目書!$Q:$Q,試験項目書!$AF:$AF,集計!AG$5)</f>
        <v>0</v>
      </c>
      <c r="AH10" s="168">
        <f ca="1">SUMIFS(試験項目書!$Q:$Q,試験項目書!$AF:$AF,集計!AH$5)</f>
        <v>0</v>
      </c>
      <c r="AI10" s="168">
        <f ca="1">SUMIFS(試験項目書!$Q:$Q,試験項目書!$AF:$AF,集計!AI$5)</f>
        <v>0</v>
      </c>
      <c r="AJ10" s="168">
        <f ca="1">SUMIFS(試験項目書!$Q:$Q,試験項目書!$AF:$AF,集計!AJ$5)</f>
        <v>0</v>
      </c>
      <c r="AK10" s="168">
        <f ca="1">SUMIFS(試験項目書!$Q:$Q,試験項目書!$AF:$AF,集計!AK$5)</f>
        <v>0</v>
      </c>
      <c r="AL10" s="168">
        <f ca="1">SUMIFS(試験項目書!$Q:$Q,試験項目書!$AF:$AF,集計!AL$5)</f>
        <v>0</v>
      </c>
      <c r="AM10" s="168">
        <f ca="1">SUMIFS(試験項目書!$Q:$Q,試験項目書!$AF:$AF,集計!AM$5)</f>
        <v>0</v>
      </c>
      <c r="AN10" s="168">
        <f ca="1">SUMIFS(試験項目書!$Q:$Q,試験項目書!$AF:$AF,集計!AN$5)</f>
        <v>0</v>
      </c>
      <c r="AO10" s="168">
        <f ca="1">SUMIFS(試験項目書!$Q:$Q,試験項目書!$AF:$AF,集計!AO$5)</f>
        <v>0</v>
      </c>
      <c r="AP10" s="168">
        <f ca="1">SUMIFS(試験項目書!$Q:$Q,試験項目書!$AF:$AF,集計!AP$5)</f>
        <v>0</v>
      </c>
      <c r="AQ10" s="168">
        <f ca="1">SUMIFS(試験項目書!$Q:$Q,試験項目書!$AF:$AF,集計!AQ$5)</f>
        <v>0</v>
      </c>
      <c r="AR10" s="168">
        <f ca="1">SUMIFS(試験項目書!$Q:$Q,試験項目書!$AF:$AF,集計!AR$5)</f>
        <v>0</v>
      </c>
      <c r="AS10" s="168">
        <f ca="1">SUMIFS(試験項目書!$Q:$Q,試験項目書!$AF:$AF,集計!AS$5)</f>
        <v>0</v>
      </c>
      <c r="AT10" s="168">
        <f ca="1">SUMIFS(試験項目書!$Q:$Q,試験項目書!$AF:$AF,集計!AT$5)</f>
        <v>0</v>
      </c>
      <c r="AU10" s="168">
        <f ca="1">SUMIFS(試験項目書!$Q:$Q,試験項目書!$AF:$AF,集計!AU$5)</f>
        <v>0</v>
      </c>
      <c r="AV10" s="168">
        <f ca="1">SUMIFS(試験項目書!$Q:$Q,試験項目書!$AF:$AF,集計!AV$5)</f>
        <v>0</v>
      </c>
      <c r="AW10" s="168">
        <f ca="1">SUMIFS(試験項目書!$Q:$Q,試験項目書!$AF:$AF,集計!AW$5)</f>
        <v>0</v>
      </c>
      <c r="AX10" s="168">
        <f ca="1">SUMIFS(試験項目書!$Q:$Q,試験項目書!$AF:$AF,集計!AX$5)</f>
        <v>0</v>
      </c>
      <c r="AY10" s="168">
        <f ca="1">SUMIFS(試験項目書!$Q:$Q,試験項目書!$AF:$AF,集計!AY$5)</f>
        <v>0</v>
      </c>
      <c r="AZ10" s="168">
        <f ca="1">SUMIFS(試験項目書!$Q:$Q,試験項目書!$AF:$AF,集計!AZ$5)</f>
        <v>0</v>
      </c>
      <c r="BA10" s="168">
        <f ca="1">SUMIFS(試験項目書!$Q:$Q,試験項目書!$AF:$AF,集計!BA$5)</f>
        <v>0</v>
      </c>
      <c r="BB10" s="168">
        <f ca="1">SUMIFS(試験項目書!$Q:$Q,試験項目書!$AF:$AF,集計!BB$5)</f>
        <v>0</v>
      </c>
      <c r="BC10" s="168">
        <f ca="1">SUMIFS(試験項目書!$Q:$Q,試験項目書!$AF:$AF,集計!BC$5)</f>
        <v>0</v>
      </c>
      <c r="BD10" s="168">
        <f ca="1">SUMIFS(試験項目書!$Q:$Q,試験項目書!$AF:$AF,集計!BD$5)</f>
        <v>0</v>
      </c>
      <c r="BE10" s="168">
        <f ca="1">SUMIFS(試験項目書!$Q:$Q,試験項目書!$AF:$AF,集計!BE$5)</f>
        <v>0</v>
      </c>
      <c r="BF10" s="168">
        <f ca="1">SUMIFS(試験項目書!$Q:$Q,試験項目書!$AF:$AF,集計!BF$5)</f>
        <v>0</v>
      </c>
      <c r="BG10" s="168">
        <f ca="1">SUMIFS(試験項目書!$Q:$Q,試験項目書!$AF:$AF,集計!BG$5)</f>
        <v>0</v>
      </c>
      <c r="BH10" s="168">
        <f ca="1">SUMIFS(試験項目書!$Q:$Q,試験項目書!$AF:$AF,集計!BH$5)</f>
        <v>0</v>
      </c>
      <c r="BI10" s="168">
        <f ca="1">SUMIFS(試験項目書!$Q:$Q,試験項目書!$AF:$AF,集計!BI$5)</f>
        <v>0</v>
      </c>
      <c r="BJ10" s="168">
        <f ca="1">SUMIFS(試験項目書!$Q:$Q,試験項目書!$AF:$AF,集計!BJ$5)</f>
        <v>0</v>
      </c>
      <c r="BK10" s="168">
        <f ca="1">SUMIFS(試験項目書!$Q:$Q,試験項目書!$AF:$AF,集計!BK$5)</f>
        <v>0</v>
      </c>
      <c r="BL10" s="168">
        <f ca="1">SUMIFS(試験項目書!$Q:$Q,試験項目書!$AF:$AF,集計!BL$5)</f>
        <v>0</v>
      </c>
      <c r="BM10" s="168">
        <f ca="1">SUMIFS(試験項目書!$Q:$Q,試験項目書!$AF:$AF,集計!BM$5)</f>
        <v>0</v>
      </c>
      <c r="BN10" s="168">
        <f ca="1">SUMIFS(試験項目書!$Q:$Q,試験項目書!$AF:$AF,集計!BN$5)</f>
        <v>0</v>
      </c>
      <c r="BO10" s="168">
        <f ca="1">SUMIFS(試験項目書!$Q:$Q,試験項目書!$AF:$AF,集計!BO$5)</f>
        <v>0</v>
      </c>
      <c r="BP10" s="168">
        <f ca="1">SUMIFS(試験項目書!$Q:$Q,試験項目書!$AF:$AF,集計!BP$5)</f>
        <v>0</v>
      </c>
      <c r="BQ10" s="168">
        <f ca="1">SUMIFS(試験項目書!$Q:$Q,試験項目書!$AF:$AF,集計!BQ$5)</f>
        <v>0</v>
      </c>
      <c r="BR10" s="168">
        <f ca="1">SUMIFS(試験項目書!$Q:$Q,試験項目書!$AF:$AF,集計!BR$5)</f>
        <v>0</v>
      </c>
      <c r="BS10" s="168">
        <f ca="1">SUMIFS(試験項目書!$Q:$Q,試験項目書!$AF:$AF,集計!BS$5)</f>
        <v>0</v>
      </c>
      <c r="BT10" s="168">
        <f ca="1">SUMIFS(試験項目書!$Q:$Q,試験項目書!$AF:$AF,集計!BT$5)</f>
        <v>0</v>
      </c>
      <c r="BU10" s="168">
        <f ca="1">SUMIFS(試験項目書!$Q:$Q,試験項目書!$AF:$AF,集計!BU$5)</f>
        <v>0</v>
      </c>
    </row>
    <row r="11" spans="2:73">
      <c r="B11" s="165" t="s">
        <v>439</v>
      </c>
      <c r="C11" s="168">
        <f ca="1">$C$3-C10</f>
        <v>8</v>
      </c>
      <c r="D11" s="168">
        <f ca="1">C11-D10</f>
        <v>8</v>
      </c>
      <c r="E11" s="168">
        <f t="shared" ref="E11:BP11" ca="1" si="3">D11-E10</f>
        <v>8</v>
      </c>
      <c r="F11" s="168">
        <f t="shared" ca="1" si="3"/>
        <v>8</v>
      </c>
      <c r="G11" s="168">
        <f t="shared" ca="1" si="3"/>
        <v>8</v>
      </c>
      <c r="H11" s="168">
        <f t="shared" ca="1" si="3"/>
        <v>8</v>
      </c>
      <c r="I11" s="168">
        <f t="shared" ca="1" si="3"/>
        <v>8</v>
      </c>
      <c r="J11" s="168">
        <f t="shared" ca="1" si="3"/>
        <v>8</v>
      </c>
      <c r="K11" s="168">
        <f t="shared" ca="1" si="3"/>
        <v>8</v>
      </c>
      <c r="L11" s="168">
        <f t="shared" ca="1" si="3"/>
        <v>8</v>
      </c>
      <c r="M11" s="168">
        <f t="shared" ca="1" si="3"/>
        <v>8</v>
      </c>
      <c r="N11" s="168">
        <f t="shared" ca="1" si="3"/>
        <v>8</v>
      </c>
      <c r="O11" s="168">
        <f t="shared" ca="1" si="3"/>
        <v>8</v>
      </c>
      <c r="P11" s="168">
        <f t="shared" ca="1" si="3"/>
        <v>8</v>
      </c>
      <c r="Q11" s="168">
        <f t="shared" ca="1" si="3"/>
        <v>8</v>
      </c>
      <c r="R11" s="168">
        <f t="shared" ca="1" si="3"/>
        <v>8</v>
      </c>
      <c r="S11" s="168">
        <f ca="1">R11-S10</f>
        <v>8</v>
      </c>
      <c r="T11" s="168">
        <f t="shared" ca="1" si="3"/>
        <v>8</v>
      </c>
      <c r="U11" s="168">
        <f t="shared" ca="1" si="3"/>
        <v>8</v>
      </c>
      <c r="V11" s="168">
        <f t="shared" ca="1" si="3"/>
        <v>8</v>
      </c>
      <c r="W11" s="168">
        <f t="shared" ca="1" si="3"/>
        <v>8</v>
      </c>
      <c r="X11" s="168">
        <f t="shared" ca="1" si="3"/>
        <v>8</v>
      </c>
      <c r="Y11" s="168">
        <f t="shared" ca="1" si="3"/>
        <v>8</v>
      </c>
      <c r="Z11" s="168">
        <f t="shared" ca="1" si="3"/>
        <v>8</v>
      </c>
      <c r="AA11" s="168">
        <f t="shared" ca="1" si="3"/>
        <v>8</v>
      </c>
      <c r="AB11" s="168">
        <f t="shared" ca="1" si="3"/>
        <v>8</v>
      </c>
      <c r="AC11" s="168">
        <f t="shared" ca="1" si="3"/>
        <v>8</v>
      </c>
      <c r="AD11" s="168">
        <f t="shared" ca="1" si="3"/>
        <v>8</v>
      </c>
      <c r="AE11" s="168">
        <f t="shared" ca="1" si="3"/>
        <v>8</v>
      </c>
      <c r="AF11" s="168">
        <f t="shared" ca="1" si="3"/>
        <v>8</v>
      </c>
      <c r="AG11" s="168">
        <f t="shared" ca="1" si="3"/>
        <v>8</v>
      </c>
      <c r="AH11" s="168">
        <f t="shared" ca="1" si="3"/>
        <v>8</v>
      </c>
      <c r="AI11" s="168">
        <f t="shared" ca="1" si="3"/>
        <v>8</v>
      </c>
      <c r="AJ11" s="168">
        <f t="shared" ca="1" si="3"/>
        <v>8</v>
      </c>
      <c r="AK11" s="168">
        <f t="shared" ca="1" si="3"/>
        <v>8</v>
      </c>
      <c r="AL11" s="168">
        <f t="shared" ca="1" si="3"/>
        <v>8</v>
      </c>
      <c r="AM11" s="168">
        <f t="shared" ca="1" si="3"/>
        <v>8</v>
      </c>
      <c r="AN11" s="168">
        <f t="shared" ca="1" si="3"/>
        <v>8</v>
      </c>
      <c r="AO11" s="168">
        <f t="shared" ca="1" si="3"/>
        <v>8</v>
      </c>
      <c r="AP11" s="168">
        <f t="shared" ca="1" si="3"/>
        <v>8</v>
      </c>
      <c r="AQ11" s="168">
        <f t="shared" ca="1" si="3"/>
        <v>8</v>
      </c>
      <c r="AR11" s="168">
        <f t="shared" ca="1" si="3"/>
        <v>8</v>
      </c>
      <c r="AS11" s="168">
        <f t="shared" ca="1" si="3"/>
        <v>8</v>
      </c>
      <c r="AT11" s="168">
        <f t="shared" ca="1" si="3"/>
        <v>8</v>
      </c>
      <c r="AU11" s="168">
        <f t="shared" ca="1" si="3"/>
        <v>8</v>
      </c>
      <c r="AV11" s="168">
        <f t="shared" ca="1" si="3"/>
        <v>8</v>
      </c>
      <c r="AW11" s="168">
        <f t="shared" ca="1" si="3"/>
        <v>8</v>
      </c>
      <c r="AX11" s="168">
        <f t="shared" ca="1" si="3"/>
        <v>8</v>
      </c>
      <c r="AY11" s="168">
        <f t="shared" ca="1" si="3"/>
        <v>8</v>
      </c>
      <c r="AZ11" s="168">
        <f t="shared" ca="1" si="3"/>
        <v>8</v>
      </c>
      <c r="BA11" s="168">
        <f t="shared" ca="1" si="3"/>
        <v>8</v>
      </c>
      <c r="BB11" s="168">
        <f t="shared" ca="1" si="3"/>
        <v>8</v>
      </c>
      <c r="BC11" s="168">
        <f t="shared" ca="1" si="3"/>
        <v>8</v>
      </c>
      <c r="BD11" s="168">
        <f t="shared" ca="1" si="3"/>
        <v>8</v>
      </c>
      <c r="BE11" s="168">
        <f t="shared" ca="1" si="3"/>
        <v>8</v>
      </c>
      <c r="BF11" s="168">
        <f t="shared" ca="1" si="3"/>
        <v>8</v>
      </c>
      <c r="BG11" s="168">
        <f t="shared" ca="1" si="3"/>
        <v>8</v>
      </c>
      <c r="BH11" s="168">
        <f t="shared" ca="1" si="3"/>
        <v>8</v>
      </c>
      <c r="BI11" s="168">
        <f t="shared" ca="1" si="3"/>
        <v>8</v>
      </c>
      <c r="BJ11" s="168">
        <f t="shared" ca="1" si="3"/>
        <v>8</v>
      </c>
      <c r="BK11" s="168">
        <f t="shared" ca="1" si="3"/>
        <v>8</v>
      </c>
      <c r="BL11" s="168">
        <f t="shared" ca="1" si="3"/>
        <v>8</v>
      </c>
      <c r="BM11" s="168">
        <f t="shared" ca="1" si="3"/>
        <v>8</v>
      </c>
      <c r="BN11" s="168">
        <f t="shared" ca="1" si="3"/>
        <v>8</v>
      </c>
      <c r="BO11" s="168">
        <f t="shared" ca="1" si="3"/>
        <v>8</v>
      </c>
      <c r="BP11" s="168">
        <f t="shared" ca="1" si="3"/>
        <v>8</v>
      </c>
      <c r="BQ11" s="168">
        <f ca="1">BP11-BQ10</f>
        <v>8</v>
      </c>
      <c r="BR11" s="168">
        <f ca="1">BQ11-BR10</f>
        <v>8</v>
      </c>
      <c r="BS11" s="168">
        <f ca="1">BR11-BS10</f>
        <v>8</v>
      </c>
      <c r="BT11" s="168">
        <f ca="1">BS11-BT10</f>
        <v>8</v>
      </c>
      <c r="BU11" s="168">
        <f ca="1">BT11-BU10</f>
        <v>8</v>
      </c>
    </row>
    <row r="12" spans="2:73">
      <c r="B12" s="165" t="s">
        <v>437</v>
      </c>
      <c r="C12" s="166">
        <f ca="1">SUMIFS(試験項目書!$O:$O,試験項目書!$Y:$Y,集計!C$5)</f>
        <v>0</v>
      </c>
      <c r="D12" s="166">
        <f ca="1">SUMIFS(試験項目書!$O:$O,試験項目書!$Y:$Y,集計!D$5)</f>
        <v>0</v>
      </c>
      <c r="E12" s="166">
        <f ca="1">SUMIFS(試験項目書!$O:$O,試験項目書!$Y:$Y,集計!E$5)</f>
        <v>0</v>
      </c>
      <c r="F12" s="166">
        <f ca="1">SUMIFS(試験項目書!$O:$O,試験項目書!$Y:$Y,集計!F$5)</f>
        <v>0</v>
      </c>
      <c r="G12" s="166">
        <f ca="1">SUMIFS(試験項目書!$O:$O,試験項目書!$Y:$Y,集計!G$5)</f>
        <v>0</v>
      </c>
      <c r="H12" s="166">
        <f ca="1">SUMIFS(試験項目書!$O:$O,試験項目書!$Y:$Y,集計!H$5)</f>
        <v>0</v>
      </c>
      <c r="I12" s="166">
        <f ca="1">SUMIFS(試験項目書!$O:$O,試験項目書!$Y:$Y,集計!I$5)</f>
        <v>0</v>
      </c>
      <c r="J12" s="166">
        <f ca="1">SUMIFS(試験項目書!$O:$O,試験項目書!$Y:$Y,集計!J$5)</f>
        <v>0</v>
      </c>
      <c r="K12" s="166">
        <f ca="1">SUMIFS(試験項目書!$O:$O,試験項目書!$Y:$Y,集計!K$5)</f>
        <v>0</v>
      </c>
      <c r="L12" s="166">
        <f ca="1">SUMIFS(試験項目書!$O:$O,試験項目書!$Y:$Y,集計!L$5)</f>
        <v>0</v>
      </c>
      <c r="M12" s="166">
        <f ca="1">SUMIFS(試験項目書!$O:$O,試験項目書!$Y:$Y,集計!M$5)</f>
        <v>0</v>
      </c>
      <c r="N12" s="166">
        <f ca="1">SUMIFS(試験項目書!$O:$O,試験項目書!$Y:$Y,集計!N$5)</f>
        <v>0</v>
      </c>
      <c r="O12" s="166">
        <f ca="1">SUMIFS(試験項目書!$O:$O,試験項目書!$Y:$Y,集計!O$5)</f>
        <v>0</v>
      </c>
      <c r="P12" s="166">
        <f ca="1">SUMIFS(試験項目書!$O:$O,試験項目書!$Y:$Y,集計!P$5)</f>
        <v>0</v>
      </c>
      <c r="Q12" s="166">
        <f ca="1">SUMIFS(試験項目書!$O:$O,試験項目書!$Y:$Y,集計!Q$5)</f>
        <v>0</v>
      </c>
      <c r="R12" s="166">
        <f ca="1">SUMIFS(試験項目書!$O:$O,試験項目書!$Y:$Y,集計!R$5)</f>
        <v>0</v>
      </c>
      <c r="S12" s="166">
        <f ca="1">SUMIFS(試験項目書!$O:$O,試験項目書!$Y:$Y,集計!S$5)</f>
        <v>0</v>
      </c>
      <c r="T12" s="166">
        <f ca="1">SUMIFS(試験項目書!$O:$O,試験項目書!$Y:$Y,集計!T$5)</f>
        <v>0</v>
      </c>
      <c r="U12" s="166">
        <f ca="1">SUMIFS(試験項目書!$O:$O,試験項目書!$Y:$Y,集計!U$5)</f>
        <v>0</v>
      </c>
      <c r="V12" s="166">
        <f ca="1">SUMIFS(試験項目書!$O:$O,試験項目書!$Y:$Y,集計!V$5)</f>
        <v>0</v>
      </c>
      <c r="W12" s="166">
        <f ca="1">SUMIFS(試験項目書!$O:$O,試験項目書!$Y:$Y,集計!W$5)</f>
        <v>0</v>
      </c>
      <c r="X12" s="166">
        <f ca="1">SUMIFS(試験項目書!$O:$O,試験項目書!$Y:$Y,集計!X$5)</f>
        <v>0</v>
      </c>
      <c r="Y12" s="166">
        <f ca="1">SUMIFS(試験項目書!$O:$O,試験項目書!$Y:$Y,集計!Y$5)</f>
        <v>0</v>
      </c>
      <c r="Z12" s="166">
        <f ca="1">SUMIFS(試験項目書!$O:$O,試験項目書!$Y:$Y,集計!Z$5)</f>
        <v>0</v>
      </c>
      <c r="AA12" s="166">
        <f ca="1">SUMIFS(試験項目書!$O:$O,試験項目書!$Y:$Y,集計!AA$5)</f>
        <v>0</v>
      </c>
      <c r="AB12" s="166">
        <f ca="1">SUMIFS(試験項目書!$O:$O,試験項目書!$Y:$Y,集計!AB$5)</f>
        <v>0</v>
      </c>
      <c r="AC12" s="166">
        <f ca="1">SUMIFS(試験項目書!$O:$O,試験項目書!$Y:$Y,集計!AC$5)</f>
        <v>0</v>
      </c>
      <c r="AD12" s="166">
        <f ca="1">SUMIFS(試験項目書!$O:$O,試験項目書!$Y:$Y,集計!AD$5)</f>
        <v>0</v>
      </c>
      <c r="AE12" s="166">
        <f ca="1">SUMIFS(試験項目書!$O:$O,試験項目書!$Y:$Y,集計!AE$5)</f>
        <v>0</v>
      </c>
      <c r="AF12" s="166">
        <f ca="1">SUMIFS(試験項目書!$O:$O,試験項目書!$Y:$Y,集計!AF$5)</f>
        <v>0</v>
      </c>
      <c r="AG12" s="166">
        <f ca="1">SUMIFS(試験項目書!$O:$O,試験項目書!$Y:$Y,集計!AG$5)</f>
        <v>0</v>
      </c>
      <c r="AH12" s="166">
        <f ca="1">SUMIFS(試験項目書!$O:$O,試験項目書!$Y:$Y,集計!AH$5)</f>
        <v>0</v>
      </c>
      <c r="AI12" s="166">
        <f ca="1">SUMIFS(試験項目書!$O:$O,試験項目書!$Y:$Y,集計!AI$5)</f>
        <v>0</v>
      </c>
      <c r="AJ12" s="166">
        <f ca="1">SUMIFS(試験項目書!$O:$O,試験項目書!$Y:$Y,集計!AJ$5)</f>
        <v>0</v>
      </c>
      <c r="AK12" s="166">
        <f ca="1">SUMIFS(試験項目書!$O:$O,試験項目書!$Y:$Y,集計!AK$5)</f>
        <v>0</v>
      </c>
      <c r="AL12" s="166">
        <f ca="1">SUMIFS(試験項目書!$O:$O,試験項目書!$Y:$Y,集計!AL$5)</f>
        <v>0</v>
      </c>
      <c r="AM12" s="166">
        <f ca="1">SUMIFS(試験項目書!$O:$O,試験項目書!$Y:$Y,集計!AM$5)</f>
        <v>0</v>
      </c>
      <c r="AN12" s="166">
        <f ca="1">SUMIFS(試験項目書!$O:$O,試験項目書!$Y:$Y,集計!AN$5)</f>
        <v>0</v>
      </c>
      <c r="AO12" s="166">
        <f ca="1">SUMIFS(試験項目書!$O:$O,試験項目書!$Y:$Y,集計!AO$5)</f>
        <v>0</v>
      </c>
      <c r="AP12" s="166">
        <f ca="1">SUMIFS(試験項目書!$O:$O,試験項目書!$Y:$Y,集計!AP$5)</f>
        <v>0</v>
      </c>
      <c r="AQ12" s="166">
        <f ca="1">SUMIFS(試験項目書!$O:$O,試験項目書!$Y:$Y,集計!AQ$5)</f>
        <v>0</v>
      </c>
      <c r="AR12" s="166">
        <f ca="1">SUMIFS(試験項目書!$O:$O,試験項目書!$Y:$Y,集計!AR$5)</f>
        <v>0</v>
      </c>
      <c r="AS12" s="166">
        <f ca="1">SUMIFS(試験項目書!$O:$O,試験項目書!$Y:$Y,集計!AS$5)</f>
        <v>0</v>
      </c>
      <c r="AT12" s="166">
        <f ca="1">SUMIFS(試験項目書!$O:$O,試験項目書!$Y:$Y,集計!AT$5)</f>
        <v>0</v>
      </c>
      <c r="AU12" s="166">
        <f ca="1">SUMIFS(試験項目書!$O:$O,試験項目書!$Y:$Y,集計!AU$5)</f>
        <v>0</v>
      </c>
      <c r="AV12" s="166">
        <f ca="1">SUMIFS(試験項目書!$O:$O,試験項目書!$Y:$Y,集計!AV$5)</f>
        <v>0</v>
      </c>
      <c r="AW12" s="166">
        <f ca="1">SUMIFS(試験項目書!$O:$O,試験項目書!$Y:$Y,集計!AW$5)</f>
        <v>0</v>
      </c>
      <c r="AX12" s="166">
        <f ca="1">SUMIFS(試験項目書!$O:$O,試験項目書!$Y:$Y,集計!AX$5)</f>
        <v>0</v>
      </c>
      <c r="AY12" s="166">
        <f ca="1">SUMIFS(試験項目書!$O:$O,試験項目書!$Y:$Y,集計!AY$5)</f>
        <v>0</v>
      </c>
      <c r="AZ12" s="166">
        <f ca="1">SUMIFS(試験項目書!$O:$O,試験項目書!$Y:$Y,集計!AZ$5)</f>
        <v>0</v>
      </c>
      <c r="BA12" s="166">
        <f ca="1">SUMIFS(試験項目書!$O:$O,試験項目書!$Y:$Y,集計!BA$5)</f>
        <v>0</v>
      </c>
      <c r="BB12" s="166">
        <f ca="1">SUMIFS(試験項目書!$O:$O,試験項目書!$Y:$Y,集計!BB$5)</f>
        <v>0</v>
      </c>
      <c r="BC12" s="166">
        <f ca="1">SUMIFS(試験項目書!$O:$O,試験項目書!$Y:$Y,集計!BC$5)</f>
        <v>0</v>
      </c>
      <c r="BD12" s="166">
        <f ca="1">SUMIFS(試験項目書!$O:$O,試験項目書!$Y:$Y,集計!BD$5)</f>
        <v>0</v>
      </c>
      <c r="BE12" s="166">
        <f ca="1">SUMIFS(試験項目書!$O:$O,試験項目書!$Y:$Y,集計!BE$5)</f>
        <v>0</v>
      </c>
      <c r="BF12" s="166">
        <f ca="1">SUMIFS(試験項目書!$O:$O,試験項目書!$Y:$Y,集計!BF$5)</f>
        <v>0</v>
      </c>
      <c r="BG12" s="166">
        <f ca="1">SUMIFS(試験項目書!$O:$O,試験項目書!$Y:$Y,集計!BG$5)</f>
        <v>0</v>
      </c>
      <c r="BH12" s="166">
        <f ca="1">SUMIFS(試験項目書!$O:$O,試験項目書!$Y:$Y,集計!BH$5)</f>
        <v>0</v>
      </c>
      <c r="BI12" s="166">
        <f ca="1">SUMIFS(試験項目書!$O:$O,試験項目書!$Y:$Y,集計!BI$5)</f>
        <v>0</v>
      </c>
      <c r="BJ12" s="166">
        <f ca="1">SUMIFS(試験項目書!$O:$O,試験項目書!$Y:$Y,集計!BJ$5)</f>
        <v>0</v>
      </c>
      <c r="BK12" s="166">
        <f ca="1">SUMIFS(試験項目書!$O:$O,試験項目書!$Y:$Y,集計!BK$5)</f>
        <v>0</v>
      </c>
      <c r="BL12" s="166">
        <f ca="1">SUMIFS(試験項目書!$O:$O,試験項目書!$Y:$Y,集計!BL$5)</f>
        <v>0</v>
      </c>
      <c r="BM12" s="166">
        <f ca="1">SUMIFS(試験項目書!$O:$O,試験項目書!$Y:$Y,集計!BM$5)</f>
        <v>0</v>
      </c>
      <c r="BN12" s="166">
        <f ca="1">SUMIFS(試験項目書!$O:$O,試験項目書!$Y:$Y,集計!BN$5)</f>
        <v>0</v>
      </c>
      <c r="BO12" s="166">
        <f ca="1">SUMIFS(試験項目書!$O:$O,試験項目書!$Y:$Y,集計!BO$5)</f>
        <v>0</v>
      </c>
      <c r="BP12" s="166">
        <f ca="1">SUMIFS(試験項目書!$O:$O,試験項目書!$Y:$Y,集計!BP$5)</f>
        <v>0</v>
      </c>
      <c r="BQ12" s="166">
        <f ca="1">SUMIFS(試験項目書!$O:$O,試験項目書!$Y:$Y,集計!BQ$5)</f>
        <v>0</v>
      </c>
      <c r="BR12" s="166">
        <f ca="1">SUMIFS(試験項目書!$O:$O,試験項目書!$Y:$Y,集計!BR$5)</f>
        <v>0</v>
      </c>
      <c r="BS12" s="166">
        <f ca="1">SUMIFS(試験項目書!$O:$O,試験項目書!$Y:$Y,集計!BS$5)</f>
        <v>0</v>
      </c>
      <c r="BT12" s="166">
        <f ca="1">SUMIFS(試験項目書!$O:$O,試験項目書!$Y:$Y,集計!BT$5)</f>
        <v>0</v>
      </c>
      <c r="BU12" s="166">
        <f ca="1">SUMIFS(試験項目書!$O:$O,試験項目書!$Y:$Y,集計!BU$5)</f>
        <v>0</v>
      </c>
    </row>
    <row r="13" spans="2:73" ht="23.25" customHeight="1">
      <c r="B13" s="167" t="s">
        <v>440</v>
      </c>
      <c r="C13" s="168">
        <f ca="1">SUMIFS(試験項目書!$Q:$Q,試験項目書!$AO:$AO,集計!C$5)</f>
        <v>0</v>
      </c>
      <c r="D13" s="168">
        <f ca="1">SUMIFS(試験項目書!$Q:$Q,試験項目書!$AO:$AO,集計!D$5)</f>
        <v>0</v>
      </c>
      <c r="E13" s="168">
        <f ca="1">SUMIFS(試験項目書!$Q:$Q,試験項目書!$AO:$AO,集計!E$5)</f>
        <v>0</v>
      </c>
      <c r="F13" s="168">
        <f ca="1">SUMIFS(試験項目書!$Q:$Q,試験項目書!$AO:$AO,集計!F$5)</f>
        <v>0</v>
      </c>
      <c r="G13" s="168">
        <f ca="1">SUMIFS(試験項目書!$Q:$Q,試験項目書!$AO:$AO,集計!G$5)</f>
        <v>0</v>
      </c>
      <c r="H13" s="168">
        <f ca="1">SUMIFS(試験項目書!$Q:$Q,試験項目書!$AO:$AO,集計!H$5)</f>
        <v>0</v>
      </c>
      <c r="I13" s="168">
        <f ca="1">SUMIFS(試験項目書!$Q:$Q,試験項目書!$AO:$AO,集計!I$5)</f>
        <v>0</v>
      </c>
      <c r="J13" s="168">
        <f ca="1">SUMIFS(試験項目書!$Q:$Q,試験項目書!$AO:$AO,集計!J$5)</f>
        <v>0</v>
      </c>
      <c r="K13" s="168">
        <f ca="1">SUMIFS(試験項目書!$Q:$Q,試験項目書!$AO:$AO,集計!K$5)</f>
        <v>0</v>
      </c>
      <c r="L13" s="168">
        <f ca="1">SUMIFS(試験項目書!$Q:$Q,試験項目書!$AO:$AO,集計!L$5)</f>
        <v>0</v>
      </c>
      <c r="M13" s="168">
        <f ca="1">SUMIFS(試験項目書!$Q:$Q,試験項目書!$AO:$AO,集計!M$5)</f>
        <v>0</v>
      </c>
      <c r="N13" s="168">
        <f ca="1">SUMIFS(試験項目書!$Q:$Q,試験項目書!$AO:$AO,集計!N$5)</f>
        <v>0</v>
      </c>
      <c r="O13" s="168">
        <f ca="1">SUMIFS(試験項目書!$Q:$Q,試験項目書!$AO:$AO,集計!O$5)</f>
        <v>0</v>
      </c>
      <c r="P13" s="168">
        <f ca="1">SUMIFS(試験項目書!$Q:$Q,試験項目書!$AO:$AO,集計!P$5)</f>
        <v>0</v>
      </c>
      <c r="Q13" s="168">
        <f ca="1">SUMIFS(試験項目書!$Q:$Q,試験項目書!$AO:$AO,集計!Q$5)</f>
        <v>0</v>
      </c>
      <c r="R13" s="168">
        <f ca="1">SUMIFS(試験項目書!$Q:$Q,試験項目書!$AO:$AO,集計!R$5)</f>
        <v>0</v>
      </c>
      <c r="S13" s="168">
        <f ca="1">SUMIFS(試験項目書!$Q:$Q,試験項目書!$AO:$AO,集計!S$5)</f>
        <v>0</v>
      </c>
      <c r="T13" s="168">
        <f ca="1">SUMIFS(試験項目書!$Q:$Q,試験項目書!$AO:$AO,集計!T$5)</f>
        <v>0</v>
      </c>
      <c r="U13" s="168">
        <f ca="1">SUMIFS(試験項目書!$Q:$Q,試験項目書!$AO:$AO,集計!U$5)</f>
        <v>0</v>
      </c>
      <c r="V13" s="168">
        <f ca="1">SUMIFS(試験項目書!$Q:$Q,試験項目書!$AO:$AO,集計!V$5)</f>
        <v>0</v>
      </c>
      <c r="W13" s="168">
        <f ca="1">SUMIFS(試験項目書!$Q:$Q,試験項目書!$AO:$AO,集計!W$5)</f>
        <v>0</v>
      </c>
      <c r="X13" s="168">
        <f ca="1">SUMIFS(試験項目書!$Q:$Q,試験項目書!$AO:$AO,集計!X$5)</f>
        <v>0</v>
      </c>
      <c r="Y13" s="168">
        <f ca="1">SUMIFS(試験項目書!$Q:$Q,試験項目書!$AO:$AO,集計!Y$5)</f>
        <v>0</v>
      </c>
      <c r="Z13" s="168">
        <f ca="1">SUMIFS(試験項目書!$Q:$Q,試験項目書!$AO:$AO,集計!Z$5)</f>
        <v>0</v>
      </c>
      <c r="AA13" s="168">
        <f ca="1">SUMIFS(試験項目書!$Q:$Q,試験項目書!$AO:$AO,集計!AA$5)</f>
        <v>0</v>
      </c>
      <c r="AB13" s="168">
        <f ca="1">SUMIFS(試験項目書!$Q:$Q,試験項目書!$AO:$AO,集計!AB$5)</f>
        <v>0</v>
      </c>
      <c r="AC13" s="168">
        <f ca="1">SUMIFS(試験項目書!$Q:$Q,試験項目書!$AO:$AO,集計!AC$5)</f>
        <v>0</v>
      </c>
      <c r="AD13" s="168">
        <f ca="1">SUMIFS(試験項目書!$Q:$Q,試験項目書!$AO:$AO,集計!AD$5)</f>
        <v>0</v>
      </c>
      <c r="AE13" s="168">
        <f ca="1">SUMIFS(試験項目書!$Q:$Q,試験項目書!$AO:$AO,集計!AE$5)</f>
        <v>0</v>
      </c>
      <c r="AF13" s="168">
        <f ca="1">SUMIFS(試験項目書!$Q:$Q,試験項目書!$AO:$AO,集計!AF$5)</f>
        <v>0</v>
      </c>
      <c r="AG13" s="168">
        <f ca="1">SUMIFS(試験項目書!$Q:$Q,試験項目書!$AO:$AO,集計!AG$5)</f>
        <v>0</v>
      </c>
      <c r="AH13" s="168">
        <f ca="1">SUMIFS(試験項目書!$Q:$Q,試験項目書!$AO:$AO,集計!AH$5)</f>
        <v>0</v>
      </c>
      <c r="AI13" s="168">
        <f ca="1">SUMIFS(試験項目書!$Q:$Q,試験項目書!$AO:$AO,集計!AI$5)</f>
        <v>0</v>
      </c>
      <c r="AJ13" s="168">
        <f ca="1">SUMIFS(試験項目書!$Q:$Q,試験項目書!$AO:$AO,集計!AJ$5)</f>
        <v>0</v>
      </c>
      <c r="AK13" s="168">
        <f ca="1">SUMIFS(試験項目書!$Q:$Q,試験項目書!$AO:$AO,集計!AK$5)</f>
        <v>0</v>
      </c>
      <c r="AL13" s="168">
        <f ca="1">SUMIFS(試験項目書!$Q:$Q,試験項目書!$AO:$AO,集計!AL$5)</f>
        <v>0</v>
      </c>
      <c r="AM13" s="168">
        <f ca="1">SUMIFS(試験項目書!$Q:$Q,試験項目書!$AO:$AO,集計!AM$5)</f>
        <v>0</v>
      </c>
      <c r="AN13" s="168">
        <f ca="1">SUMIFS(試験項目書!$Q:$Q,試験項目書!$AO:$AO,集計!AN$5)</f>
        <v>0</v>
      </c>
      <c r="AO13" s="168">
        <f ca="1">SUMIFS(試験項目書!$Q:$Q,試験項目書!$AO:$AO,集計!AO$5)</f>
        <v>0</v>
      </c>
      <c r="AP13" s="168">
        <f ca="1">SUMIFS(試験項目書!$Q:$Q,試験項目書!$AO:$AO,集計!AP$5)</f>
        <v>0</v>
      </c>
      <c r="AQ13" s="168">
        <f ca="1">SUMIFS(試験項目書!$Q:$Q,試験項目書!$AO:$AO,集計!AQ$5)</f>
        <v>0</v>
      </c>
      <c r="AR13" s="168">
        <f ca="1">SUMIFS(試験項目書!$Q:$Q,試験項目書!$AO:$AO,集計!AR$5)</f>
        <v>0</v>
      </c>
      <c r="AS13" s="168">
        <f ca="1">SUMIFS(試験項目書!$Q:$Q,試験項目書!$AO:$AO,集計!AS$5)</f>
        <v>0</v>
      </c>
      <c r="AT13" s="168">
        <f ca="1">SUMIFS(試験項目書!$Q:$Q,試験項目書!$AO:$AO,集計!AT$5)</f>
        <v>0</v>
      </c>
      <c r="AU13" s="168">
        <f ca="1">SUMIFS(試験項目書!$Q:$Q,試験項目書!$AO:$AO,集計!AU$5)</f>
        <v>0</v>
      </c>
      <c r="AV13" s="168">
        <f ca="1">SUMIFS(試験項目書!$Q:$Q,試験項目書!$AO:$AO,集計!AV$5)</f>
        <v>0</v>
      </c>
      <c r="AW13" s="168">
        <f ca="1">SUMIFS(試験項目書!$Q:$Q,試験項目書!$AO:$AO,集計!AW$5)</f>
        <v>0</v>
      </c>
      <c r="AX13" s="168">
        <f ca="1">SUMIFS(試験項目書!$Q:$Q,試験項目書!$AO:$AO,集計!AX$5)</f>
        <v>0</v>
      </c>
      <c r="AY13" s="168">
        <f ca="1">SUMIFS(試験項目書!$Q:$Q,試験項目書!$AO:$AO,集計!AY$5)</f>
        <v>0</v>
      </c>
      <c r="AZ13" s="168">
        <f ca="1">SUMIFS(試験項目書!$Q:$Q,試験項目書!$AO:$AO,集計!AZ$5)</f>
        <v>0</v>
      </c>
      <c r="BA13" s="168">
        <f ca="1">SUMIFS(試験項目書!$Q:$Q,試験項目書!$AO:$AO,集計!BA$5)</f>
        <v>0</v>
      </c>
      <c r="BB13" s="168">
        <f ca="1">SUMIFS(試験項目書!$Q:$Q,試験項目書!$AO:$AO,集計!BB$5)</f>
        <v>0</v>
      </c>
      <c r="BC13" s="168">
        <f ca="1">SUMIFS(試験項目書!$Q:$Q,試験項目書!$AO:$AO,集計!BC$5)</f>
        <v>0</v>
      </c>
      <c r="BD13" s="168">
        <f ca="1">SUMIFS(試験項目書!$Q:$Q,試験項目書!$AO:$AO,集計!BD$5)</f>
        <v>0</v>
      </c>
      <c r="BE13" s="168">
        <f ca="1">SUMIFS(試験項目書!$Q:$Q,試験項目書!$AO:$AO,集計!BE$5)</f>
        <v>0</v>
      </c>
      <c r="BF13" s="168">
        <f ca="1">SUMIFS(試験項目書!$Q:$Q,試験項目書!$AO:$AO,集計!BF$5)</f>
        <v>0</v>
      </c>
      <c r="BG13" s="168">
        <f ca="1">SUMIFS(試験項目書!$Q:$Q,試験項目書!$AO:$AO,集計!BG$5)</f>
        <v>0</v>
      </c>
      <c r="BH13" s="168">
        <f ca="1">SUMIFS(試験項目書!$Q:$Q,試験項目書!$AO:$AO,集計!BH$5)</f>
        <v>0</v>
      </c>
      <c r="BI13" s="168">
        <f ca="1">SUMIFS(試験項目書!$Q:$Q,試験項目書!$AO:$AO,集計!BI$5)</f>
        <v>0</v>
      </c>
      <c r="BJ13" s="168">
        <f ca="1">SUMIFS(試験項目書!$Q:$Q,試験項目書!$AO:$AO,集計!BJ$5)</f>
        <v>0</v>
      </c>
      <c r="BK13" s="168">
        <f ca="1">SUMIFS(試験項目書!$Q:$Q,試験項目書!$AO:$AO,集計!BK$5)</f>
        <v>0</v>
      </c>
      <c r="BL13" s="168">
        <f ca="1">SUMIFS(試験項目書!$Q:$Q,試験項目書!$AO:$AO,集計!BL$5)</f>
        <v>0</v>
      </c>
      <c r="BM13" s="168">
        <f ca="1">SUMIFS(試験項目書!$Q:$Q,試験項目書!$AO:$AO,集計!BM$5)</f>
        <v>0</v>
      </c>
      <c r="BN13" s="168">
        <f ca="1">SUMIFS(試験項目書!$Q:$Q,試験項目書!$AO:$AO,集計!BN$5)</f>
        <v>0</v>
      </c>
      <c r="BO13" s="168">
        <f ca="1">SUMIFS(試験項目書!$Q:$Q,試験項目書!$AO:$AO,集計!BO$5)</f>
        <v>0</v>
      </c>
      <c r="BP13" s="168">
        <f ca="1">SUMIFS(試験項目書!$Q:$Q,試験項目書!$AO:$AO,集計!BP$5)</f>
        <v>0</v>
      </c>
      <c r="BQ13" s="168">
        <f ca="1">SUMIFS(試験項目書!$Q:$Q,試験項目書!$AO:$AO,集計!BQ$5)</f>
        <v>0</v>
      </c>
      <c r="BR13" s="168">
        <f ca="1">SUMIFS(試験項目書!$Q:$Q,試験項目書!$AO:$AO,集計!BR$5)</f>
        <v>0</v>
      </c>
      <c r="BS13" s="168">
        <f ca="1">SUMIFS(試験項目書!$Q:$Q,試験項目書!$AO:$AO,集計!BS$5)</f>
        <v>0</v>
      </c>
      <c r="BT13" s="168">
        <f ca="1">SUMIFS(試験項目書!$Q:$Q,試験項目書!$AO:$AO,集計!BT$5)</f>
        <v>0</v>
      </c>
      <c r="BU13" s="168">
        <f ca="1">SUMIFS(試験項目書!$Q:$Q,試験項目書!$AO:$AO,集計!BU$5)</f>
        <v>0</v>
      </c>
    </row>
    <row r="14" spans="2:73">
      <c r="B14" s="165" t="s">
        <v>439</v>
      </c>
      <c r="C14" s="166">
        <f ca="1">$C$3-C13</f>
        <v>8</v>
      </c>
      <c r="D14" s="166">
        <f t="shared" ref="D14:BO14" ca="1" si="4">$C$3-D13</f>
        <v>8</v>
      </c>
      <c r="E14" s="166">
        <f t="shared" ca="1" si="4"/>
        <v>8</v>
      </c>
      <c r="F14" s="166">
        <f t="shared" ca="1" si="4"/>
        <v>8</v>
      </c>
      <c r="G14" s="166">
        <f t="shared" ca="1" si="4"/>
        <v>8</v>
      </c>
      <c r="H14" s="166">
        <f t="shared" ca="1" si="4"/>
        <v>8</v>
      </c>
      <c r="I14" s="166">
        <f t="shared" ca="1" si="4"/>
        <v>8</v>
      </c>
      <c r="J14" s="166">
        <f t="shared" ca="1" si="4"/>
        <v>8</v>
      </c>
      <c r="K14" s="166">
        <f t="shared" ca="1" si="4"/>
        <v>8</v>
      </c>
      <c r="L14" s="166">
        <f t="shared" ca="1" si="4"/>
        <v>8</v>
      </c>
      <c r="M14" s="166">
        <f t="shared" ca="1" si="4"/>
        <v>8</v>
      </c>
      <c r="N14" s="166">
        <f t="shared" ca="1" si="4"/>
        <v>8</v>
      </c>
      <c r="O14" s="166">
        <f t="shared" ca="1" si="4"/>
        <v>8</v>
      </c>
      <c r="P14" s="166">
        <f t="shared" ca="1" si="4"/>
        <v>8</v>
      </c>
      <c r="Q14" s="166">
        <f t="shared" ca="1" si="4"/>
        <v>8</v>
      </c>
      <c r="R14" s="166">
        <f t="shared" ca="1" si="4"/>
        <v>8</v>
      </c>
      <c r="S14" s="166">
        <f t="shared" ca="1" si="4"/>
        <v>8</v>
      </c>
      <c r="T14" s="166">
        <f t="shared" ca="1" si="4"/>
        <v>8</v>
      </c>
      <c r="U14" s="166">
        <f t="shared" ca="1" si="4"/>
        <v>8</v>
      </c>
      <c r="V14" s="166">
        <f t="shared" ca="1" si="4"/>
        <v>8</v>
      </c>
      <c r="W14" s="166">
        <f t="shared" ca="1" si="4"/>
        <v>8</v>
      </c>
      <c r="X14" s="166">
        <f t="shared" ca="1" si="4"/>
        <v>8</v>
      </c>
      <c r="Y14" s="166">
        <f t="shared" ca="1" si="4"/>
        <v>8</v>
      </c>
      <c r="Z14" s="166">
        <f t="shared" ca="1" si="4"/>
        <v>8</v>
      </c>
      <c r="AA14" s="166">
        <f t="shared" ca="1" si="4"/>
        <v>8</v>
      </c>
      <c r="AB14" s="166">
        <f t="shared" ca="1" si="4"/>
        <v>8</v>
      </c>
      <c r="AC14" s="166">
        <f t="shared" ca="1" si="4"/>
        <v>8</v>
      </c>
      <c r="AD14" s="166">
        <f t="shared" ca="1" si="4"/>
        <v>8</v>
      </c>
      <c r="AE14" s="166">
        <f t="shared" ca="1" si="4"/>
        <v>8</v>
      </c>
      <c r="AF14" s="166">
        <f t="shared" ca="1" si="4"/>
        <v>8</v>
      </c>
      <c r="AG14" s="166">
        <f t="shared" ca="1" si="4"/>
        <v>8</v>
      </c>
      <c r="AH14" s="166">
        <f t="shared" ca="1" si="4"/>
        <v>8</v>
      </c>
      <c r="AI14" s="166">
        <f t="shared" ca="1" si="4"/>
        <v>8</v>
      </c>
      <c r="AJ14" s="166">
        <f t="shared" ca="1" si="4"/>
        <v>8</v>
      </c>
      <c r="AK14" s="166">
        <f t="shared" ca="1" si="4"/>
        <v>8</v>
      </c>
      <c r="AL14" s="166">
        <f t="shared" ca="1" si="4"/>
        <v>8</v>
      </c>
      <c r="AM14" s="166">
        <f t="shared" ca="1" si="4"/>
        <v>8</v>
      </c>
      <c r="AN14" s="166">
        <f t="shared" ca="1" si="4"/>
        <v>8</v>
      </c>
      <c r="AO14" s="166">
        <f t="shared" ca="1" si="4"/>
        <v>8</v>
      </c>
      <c r="AP14" s="166">
        <f t="shared" ca="1" si="4"/>
        <v>8</v>
      </c>
      <c r="AQ14" s="166">
        <f t="shared" ca="1" si="4"/>
        <v>8</v>
      </c>
      <c r="AR14" s="166">
        <f t="shared" ca="1" si="4"/>
        <v>8</v>
      </c>
      <c r="AS14" s="166">
        <f t="shared" ca="1" si="4"/>
        <v>8</v>
      </c>
      <c r="AT14" s="166">
        <f t="shared" ca="1" si="4"/>
        <v>8</v>
      </c>
      <c r="AU14" s="166">
        <f t="shared" ca="1" si="4"/>
        <v>8</v>
      </c>
      <c r="AV14" s="166">
        <f t="shared" ca="1" si="4"/>
        <v>8</v>
      </c>
      <c r="AW14" s="166">
        <f t="shared" ca="1" si="4"/>
        <v>8</v>
      </c>
      <c r="AX14" s="166">
        <f t="shared" ca="1" si="4"/>
        <v>8</v>
      </c>
      <c r="AY14" s="166">
        <f t="shared" ca="1" si="4"/>
        <v>8</v>
      </c>
      <c r="AZ14" s="166">
        <f t="shared" ca="1" si="4"/>
        <v>8</v>
      </c>
      <c r="BA14" s="166">
        <f t="shared" ca="1" si="4"/>
        <v>8</v>
      </c>
      <c r="BB14" s="166">
        <f t="shared" ca="1" si="4"/>
        <v>8</v>
      </c>
      <c r="BC14" s="166">
        <f t="shared" ca="1" si="4"/>
        <v>8</v>
      </c>
      <c r="BD14" s="166">
        <f t="shared" ca="1" si="4"/>
        <v>8</v>
      </c>
      <c r="BE14" s="166">
        <f t="shared" ca="1" si="4"/>
        <v>8</v>
      </c>
      <c r="BF14" s="166">
        <f t="shared" ca="1" si="4"/>
        <v>8</v>
      </c>
      <c r="BG14" s="166">
        <f t="shared" ca="1" si="4"/>
        <v>8</v>
      </c>
      <c r="BH14" s="166">
        <f t="shared" ca="1" si="4"/>
        <v>8</v>
      </c>
      <c r="BI14" s="166">
        <f t="shared" ca="1" si="4"/>
        <v>8</v>
      </c>
      <c r="BJ14" s="166">
        <f t="shared" ca="1" si="4"/>
        <v>8</v>
      </c>
      <c r="BK14" s="166">
        <f t="shared" ca="1" si="4"/>
        <v>8</v>
      </c>
      <c r="BL14" s="166">
        <f t="shared" ca="1" si="4"/>
        <v>8</v>
      </c>
      <c r="BM14" s="166">
        <f t="shared" ca="1" si="4"/>
        <v>8</v>
      </c>
      <c r="BN14" s="166">
        <f t="shared" ca="1" si="4"/>
        <v>8</v>
      </c>
      <c r="BO14" s="166">
        <f t="shared" ca="1" si="4"/>
        <v>8</v>
      </c>
      <c r="BP14" s="166">
        <f t="shared" ref="BP14:BU14" ca="1" si="5">$C$3-BP13</f>
        <v>8</v>
      </c>
      <c r="BQ14" s="166">
        <f t="shared" ca="1" si="5"/>
        <v>8</v>
      </c>
      <c r="BR14" s="166">
        <f t="shared" ca="1" si="5"/>
        <v>8</v>
      </c>
      <c r="BS14" s="166">
        <f t="shared" ca="1" si="5"/>
        <v>8</v>
      </c>
      <c r="BT14" s="166">
        <f t="shared" ca="1" si="5"/>
        <v>8</v>
      </c>
      <c r="BU14" s="166">
        <f t="shared" ca="1" si="5"/>
        <v>8</v>
      </c>
    </row>
    <row r="16" spans="2:73">
      <c r="B16" s="18" t="s">
        <v>441</v>
      </c>
    </row>
  </sheetData>
  <customSheetViews>
    <customSheetView guid="{8D43A8EA-EA08-48E3-BF94-2BFB788816E3}" scale="85" showGridLines="0">
      <selection activeCell="F22" sqref="F22"/>
      <pageMargins left="0" right="0" top="0" bottom="0" header="0" footer="0"/>
      <pageSetup paperSize="9" orientation="portrait" r:id="rId1"/>
    </customSheetView>
    <customSheetView guid="{3A6EB1D7-114C-4D3F-B278-A8983B092E89}" scale="85" showGridLines="0">
      <selection activeCell="AO8" sqref="AO8"/>
      <pageMargins left="0" right="0" top="0" bottom="0" header="0" footer="0"/>
      <pageSetup paperSize="9" orientation="portrait" r:id="rId2"/>
    </customSheetView>
    <customSheetView guid="{FE79E6DA-7B16-4839-8CFB-07958FC2E8D2}" scale="85" showGridLines="0">
      <selection activeCell="AO8" sqref="AO8"/>
      <pageMargins left="0" right="0" top="0" bottom="0" header="0" footer="0"/>
      <pageSetup paperSize="9" orientation="portrait" r:id="rId3"/>
    </customSheetView>
    <customSheetView guid="{9DD2208F-4C44-4913-8171-810057626EC5}" scale="85" showGridLines="0">
      <selection activeCell="AO8" sqref="AO8"/>
      <pageMargins left="0" right="0" top="0" bottom="0" header="0" footer="0"/>
      <pageSetup paperSize="9" orientation="portrait" r:id="rId4"/>
    </customSheetView>
    <customSheetView guid="{6C2BAA77-ABB7-4A2D-BD29-85893334F5A3}" scale="85" showGridLines="0">
      <selection activeCell="F22" sqref="F22"/>
      <pageMargins left="0" right="0" top="0" bottom="0" header="0" footer="0"/>
      <pageSetup paperSize="9" orientation="portrait" r:id="rId5"/>
    </customSheetView>
    <customSheetView guid="{A142BDA9-87E4-4D28-8956-CACB0E560FD7}" scale="85" showGridLines="0">
      <selection activeCell="F22" sqref="F22"/>
      <pageMargins left="0" right="0" top="0" bottom="0" header="0" footer="0"/>
      <pageSetup paperSize="9" orientation="portrait" r:id="rId6"/>
    </customSheetView>
    <customSheetView guid="{07871DE1-6DDD-41A1-BC3E-EE686D9B3091}" scale="85" showGridLines="0">
      <selection activeCell="F22" sqref="F22"/>
      <pageMargins left="0" right="0" top="0" bottom="0" header="0" footer="0"/>
      <pageSetup paperSize="9" orientation="portrait" r:id="rId7"/>
    </customSheetView>
    <customSheetView guid="{7F6D31C6-7E2C-4B29-867B-55EBA4D25780}" scale="85" showGridLines="0">
      <selection activeCell="F22" sqref="F22"/>
      <pageMargins left="0" right="0" top="0" bottom="0" header="0" footer="0"/>
      <pageSetup paperSize="9" orientation="portrait" r:id="rId8"/>
    </customSheetView>
    <customSheetView guid="{A0FC786A-8DCE-4049-A0E0-92B8CFB0DE4D}" scale="85" showGridLines="0">
      <selection activeCell="F22" sqref="F22"/>
      <pageMargins left="0" right="0" top="0" bottom="0" header="0" footer="0"/>
      <pageSetup paperSize="9" orientation="portrait" r:id="rId9"/>
    </customSheetView>
    <customSheetView guid="{9AF22A4D-4E31-4B78-9592-FFE6AADDDF54}" scale="85" showGridLines="0">
      <selection activeCell="F22" sqref="F22"/>
      <pageMargins left="0" right="0" top="0" bottom="0" header="0" footer="0"/>
      <pageSetup paperSize="9" orientation="portrait" r:id="rId10"/>
    </customSheetView>
  </customSheetViews>
  <phoneticPr fontId="5"/>
  <pageMargins left="0.7" right="0.7" top="0.75" bottom="0.75" header="0.3" footer="0.3"/>
  <pageSetup paperSize="9" orientation="portrait" r:id="rId1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N144"/>
  <sheetViews>
    <sheetView zoomScale="85" zoomScaleNormal="85" workbookViewId="0">
      <selection activeCell="B4" sqref="B4"/>
    </sheetView>
  </sheetViews>
  <sheetFormatPr defaultRowHeight="13"/>
  <cols>
    <col min="1" max="1" width="26" bestFit="1" customWidth="1"/>
    <col min="2" max="3" width="13" bestFit="1" customWidth="1"/>
    <col min="4" max="4" width="22.7265625" bestFit="1" customWidth="1"/>
    <col min="5" max="5" width="13.54296875" bestFit="1" customWidth="1"/>
    <col min="6" max="6" width="25.7265625" bestFit="1" customWidth="1"/>
    <col min="7" max="7" width="31.1796875" bestFit="1" customWidth="1"/>
    <col min="8" max="8" width="28.453125" bestFit="1" customWidth="1"/>
    <col min="9" max="9" width="10.26953125" bestFit="1" customWidth="1"/>
    <col min="10" max="10" width="13.453125" bestFit="1" customWidth="1"/>
    <col min="11" max="11" width="10.26953125" bestFit="1" customWidth="1"/>
    <col min="12" max="12" width="10.81640625" bestFit="1" customWidth="1"/>
    <col min="13" max="13" width="14.1796875" bestFit="1" customWidth="1"/>
    <col min="14" max="14" width="10" bestFit="1" customWidth="1"/>
    <col min="15" max="35" width="7.453125" customWidth="1"/>
  </cols>
  <sheetData>
    <row r="1" spans="1:14">
      <c r="A1" s="24" t="s">
        <v>101</v>
      </c>
      <c r="B1" s="381" t="s">
        <v>442</v>
      </c>
      <c r="C1" s="382"/>
      <c r="D1" s="382"/>
      <c r="E1" s="382"/>
      <c r="F1" s="382"/>
      <c r="G1" s="383"/>
      <c r="H1" s="383"/>
      <c r="I1" s="383"/>
      <c r="J1" s="383"/>
      <c r="K1" s="383"/>
      <c r="L1" s="384"/>
    </row>
    <row r="2" spans="1:14">
      <c r="A2" s="179" t="s">
        <v>443</v>
      </c>
      <c r="B2" s="31" t="s">
        <v>444</v>
      </c>
      <c r="C2" s="27" t="s">
        <v>445</v>
      </c>
      <c r="D2" s="27" t="s">
        <v>446</v>
      </c>
      <c r="E2" s="27" t="s">
        <v>447</v>
      </c>
      <c r="F2" s="27" t="s">
        <v>448</v>
      </c>
      <c r="G2" s="33" t="s">
        <v>449</v>
      </c>
      <c r="H2" s="33" t="s">
        <v>450</v>
      </c>
      <c r="I2" s="33" t="s">
        <v>451</v>
      </c>
      <c r="J2" s="33" t="s">
        <v>452</v>
      </c>
      <c r="K2" s="33" t="s">
        <v>453</v>
      </c>
      <c r="L2" s="28"/>
    </row>
    <row r="3" spans="1:14">
      <c r="A3" s="25" t="s">
        <v>454</v>
      </c>
      <c r="B3" s="31" t="s">
        <v>455</v>
      </c>
      <c r="C3" s="27" t="s">
        <v>456</v>
      </c>
      <c r="D3" s="27" t="s">
        <v>457</v>
      </c>
      <c r="E3" s="27" t="s">
        <v>458</v>
      </c>
      <c r="F3" s="33" t="s">
        <v>82</v>
      </c>
      <c r="G3" s="33" t="s">
        <v>459</v>
      </c>
      <c r="H3" s="33" t="s">
        <v>460</v>
      </c>
      <c r="I3" s="33"/>
      <c r="J3" s="33"/>
      <c r="K3" s="33"/>
      <c r="L3" s="21"/>
    </row>
    <row r="4" spans="1:14">
      <c r="A4" s="25" t="s">
        <v>461</v>
      </c>
      <c r="B4" s="31" t="s">
        <v>462</v>
      </c>
      <c r="C4" s="27" t="s">
        <v>456</v>
      </c>
      <c r="D4" s="27" t="s">
        <v>457</v>
      </c>
      <c r="E4" s="27" t="s">
        <v>458</v>
      </c>
      <c r="F4" s="33" t="s">
        <v>82</v>
      </c>
      <c r="G4" s="33" t="s">
        <v>459</v>
      </c>
      <c r="H4" s="33" t="s">
        <v>460</v>
      </c>
      <c r="I4" s="33"/>
      <c r="J4" s="33"/>
      <c r="K4" s="33"/>
      <c r="L4" s="21"/>
    </row>
    <row r="5" spans="1:14">
      <c r="A5" s="25" t="s">
        <v>463</v>
      </c>
      <c r="B5" s="31" t="s">
        <v>464</v>
      </c>
      <c r="C5" s="27" t="s">
        <v>465</v>
      </c>
      <c r="D5" s="27" t="s">
        <v>457</v>
      </c>
      <c r="E5" s="33" t="s">
        <v>458</v>
      </c>
      <c r="F5" s="33" t="s">
        <v>82</v>
      </c>
      <c r="G5" s="33" t="s">
        <v>459</v>
      </c>
      <c r="H5" s="33" t="s">
        <v>453</v>
      </c>
      <c r="I5" s="33"/>
      <c r="J5" s="34"/>
      <c r="K5" s="34"/>
      <c r="L5" s="21"/>
    </row>
    <row r="6" spans="1:14">
      <c r="A6" s="25" t="s">
        <v>466</v>
      </c>
      <c r="B6" s="20" t="s">
        <v>467</v>
      </c>
      <c r="C6" s="29" t="s">
        <v>462</v>
      </c>
      <c r="D6" s="29"/>
      <c r="E6" s="29"/>
      <c r="F6" s="29"/>
      <c r="G6" s="34"/>
      <c r="H6" s="34"/>
      <c r="I6" s="34"/>
      <c r="J6" s="34"/>
      <c r="K6" s="34"/>
      <c r="L6" s="21"/>
    </row>
    <row r="7" spans="1:14">
      <c r="A7" s="25" t="s">
        <v>468</v>
      </c>
      <c r="B7" s="20" t="s">
        <v>464</v>
      </c>
      <c r="C7" s="29" t="s">
        <v>462</v>
      </c>
      <c r="D7" s="29" t="s">
        <v>469</v>
      </c>
      <c r="E7" s="29" t="s">
        <v>470</v>
      </c>
      <c r="F7" s="29" t="s">
        <v>471</v>
      </c>
      <c r="G7" s="29" t="s">
        <v>472</v>
      </c>
      <c r="H7" s="29" t="s">
        <v>473</v>
      </c>
      <c r="I7" s="29" t="s">
        <v>474</v>
      </c>
      <c r="J7" s="29"/>
      <c r="K7" s="29"/>
      <c r="L7" s="21"/>
      <c r="N7" s="32"/>
    </row>
    <row r="8" spans="1:14">
      <c r="A8" s="25"/>
      <c r="B8" s="20"/>
      <c r="C8" s="29"/>
      <c r="D8" s="29"/>
      <c r="E8" s="29"/>
      <c r="F8" s="29"/>
      <c r="G8" s="29"/>
      <c r="H8" s="29"/>
      <c r="I8" s="29"/>
      <c r="J8" s="29"/>
      <c r="K8" s="34"/>
      <c r="L8" s="21"/>
      <c r="N8" s="32"/>
    </row>
    <row r="9" spans="1:14">
      <c r="A9" s="25"/>
      <c r="B9" s="20"/>
      <c r="C9" s="29"/>
      <c r="D9" s="29"/>
      <c r="E9" s="29"/>
      <c r="F9" s="29"/>
      <c r="G9" s="29"/>
      <c r="H9" s="29"/>
      <c r="I9" s="34"/>
      <c r="J9" s="34"/>
      <c r="K9" s="34"/>
      <c r="L9" s="21"/>
      <c r="N9" s="32"/>
    </row>
    <row r="10" spans="1:14">
      <c r="A10" s="25"/>
      <c r="B10" s="20"/>
      <c r="C10" s="29"/>
      <c r="D10" s="29"/>
      <c r="E10" s="29"/>
      <c r="F10" s="29"/>
      <c r="G10" s="34"/>
      <c r="H10" s="34"/>
      <c r="I10" s="34"/>
      <c r="J10" s="34"/>
      <c r="K10" s="34"/>
      <c r="L10" s="21"/>
      <c r="N10" s="32"/>
    </row>
    <row r="11" spans="1:14">
      <c r="A11" s="26"/>
      <c r="B11" s="22"/>
      <c r="C11" s="30"/>
      <c r="D11" s="30"/>
      <c r="E11" s="30"/>
      <c r="F11" s="30"/>
      <c r="G11" s="35"/>
      <c r="H11" s="35"/>
      <c r="I11" s="35"/>
      <c r="J11" s="35"/>
      <c r="K11" s="35"/>
      <c r="L11" s="23"/>
    </row>
    <row r="12" spans="1:14">
      <c r="A12" t="s">
        <v>112</v>
      </c>
      <c r="B12" t="s">
        <v>112</v>
      </c>
      <c r="C12" t="s">
        <v>112</v>
      </c>
      <c r="D12" t="s">
        <v>112</v>
      </c>
      <c r="E12" t="s">
        <v>112</v>
      </c>
      <c r="F12" t="s">
        <v>112</v>
      </c>
      <c r="G12" t="s">
        <v>112</v>
      </c>
      <c r="H12" t="s">
        <v>112</v>
      </c>
      <c r="I12" t="s">
        <v>112</v>
      </c>
      <c r="J12" t="s">
        <v>112</v>
      </c>
      <c r="K12" t="s">
        <v>112</v>
      </c>
      <c r="L12" t="s">
        <v>112</v>
      </c>
    </row>
    <row r="13" spans="1:14">
      <c r="A13" s="19" t="s">
        <v>475</v>
      </c>
      <c r="B13" s="19" t="s">
        <v>476</v>
      </c>
      <c r="C13" s="19" t="s">
        <v>477</v>
      </c>
    </row>
    <row r="14" spans="1:14">
      <c r="A14" s="179" t="s">
        <v>100</v>
      </c>
      <c r="B14" s="179" t="s">
        <v>53</v>
      </c>
      <c r="C14" s="179" t="s">
        <v>478</v>
      </c>
    </row>
    <row r="15" spans="1:14">
      <c r="A15" s="25" t="s">
        <v>479</v>
      </c>
      <c r="B15" s="25" t="s">
        <v>157</v>
      </c>
      <c r="C15" s="25"/>
    </row>
    <row r="16" spans="1:14">
      <c r="A16" s="25" t="s">
        <v>480</v>
      </c>
      <c r="B16" s="25" t="s">
        <v>481</v>
      </c>
      <c r="C16" s="25"/>
    </row>
    <row r="17" spans="1:3">
      <c r="A17" s="25" t="s">
        <v>482</v>
      </c>
      <c r="B17" s="25"/>
      <c r="C17" s="25"/>
    </row>
    <row r="18" spans="1:3">
      <c r="A18" s="25" t="s">
        <v>483</v>
      </c>
      <c r="B18" s="25"/>
      <c r="C18" s="25"/>
    </row>
    <row r="19" spans="1:3">
      <c r="A19" s="25" t="s">
        <v>484</v>
      </c>
      <c r="B19" s="26"/>
      <c r="C19" s="26"/>
    </row>
    <row r="20" spans="1:3">
      <c r="A20" s="25"/>
      <c r="B20" t="s">
        <v>112</v>
      </c>
      <c r="C20" t="s">
        <v>112</v>
      </c>
    </row>
    <row r="21" spans="1:3">
      <c r="A21" s="25"/>
    </row>
    <row r="22" spans="1:3">
      <c r="A22" s="25"/>
    </row>
    <row r="23" spans="1:3">
      <c r="A23" s="25"/>
    </row>
    <row r="24" spans="1:3">
      <c r="A24" s="25"/>
    </row>
    <row r="25" spans="1:3">
      <c r="A25" s="25"/>
    </row>
    <row r="26" spans="1:3">
      <c r="A26" s="25"/>
    </row>
    <row r="27" spans="1:3">
      <c r="A27" s="25"/>
    </row>
    <row r="28" spans="1:3">
      <c r="A28" s="25"/>
    </row>
    <row r="29" spans="1:3">
      <c r="A29" s="25"/>
    </row>
    <row r="30" spans="1:3">
      <c r="A30" s="25"/>
    </row>
    <row r="31" spans="1:3">
      <c r="A31" s="25"/>
    </row>
    <row r="32" spans="1:3">
      <c r="A32" s="25"/>
    </row>
    <row r="33" spans="1:1">
      <c r="A33" s="25"/>
    </row>
    <row r="34" spans="1:1">
      <c r="A34" s="25"/>
    </row>
    <row r="35" spans="1:1">
      <c r="A35" s="25"/>
    </row>
    <row r="36" spans="1:1">
      <c r="A36" s="25"/>
    </row>
    <row r="37" spans="1:1">
      <c r="A37" s="25"/>
    </row>
    <row r="38" spans="1:1">
      <c r="A38" s="25"/>
    </row>
    <row r="39" spans="1:1">
      <c r="A39" s="25"/>
    </row>
    <row r="40" spans="1:1">
      <c r="A40" s="25"/>
    </row>
    <row r="41" spans="1:1">
      <c r="A41" s="25"/>
    </row>
    <row r="42" spans="1:1">
      <c r="A42" s="25"/>
    </row>
    <row r="43" spans="1:1">
      <c r="A43" s="25"/>
    </row>
    <row r="44" spans="1:1">
      <c r="A44" s="25"/>
    </row>
    <row r="45" spans="1:1">
      <c r="A45" s="25"/>
    </row>
    <row r="46" spans="1:1">
      <c r="A46" s="25"/>
    </row>
    <row r="47" spans="1:1">
      <c r="A47" s="25"/>
    </row>
    <row r="48" spans="1:1">
      <c r="A48" s="25"/>
    </row>
    <row r="49" spans="1:1">
      <c r="A49" s="25"/>
    </row>
    <row r="50" spans="1:1">
      <c r="A50" s="25"/>
    </row>
    <row r="51" spans="1:1">
      <c r="A51" s="25"/>
    </row>
    <row r="52" spans="1:1">
      <c r="A52" s="25"/>
    </row>
    <row r="53" spans="1:1">
      <c r="A53" s="25"/>
    </row>
    <row r="54" spans="1:1">
      <c r="A54" s="25"/>
    </row>
    <row r="55" spans="1:1">
      <c r="A55" s="25"/>
    </row>
    <row r="56" spans="1:1">
      <c r="A56" s="25"/>
    </row>
    <row r="57" spans="1:1">
      <c r="A57" s="25"/>
    </row>
    <row r="58" spans="1:1">
      <c r="A58" s="25"/>
    </row>
    <row r="59" spans="1:1">
      <c r="A59" s="25"/>
    </row>
    <row r="60" spans="1:1">
      <c r="A60" s="25"/>
    </row>
    <row r="61" spans="1:1">
      <c r="A61" s="25"/>
    </row>
    <row r="62" spans="1:1">
      <c r="A62" s="25"/>
    </row>
    <row r="63" spans="1:1">
      <c r="A63" s="25"/>
    </row>
    <row r="64" spans="1:1">
      <c r="A64" s="25"/>
    </row>
    <row r="65" spans="1:1">
      <c r="A65" s="25"/>
    </row>
    <row r="66" spans="1:1">
      <c r="A66" s="25"/>
    </row>
    <row r="67" spans="1:1">
      <c r="A67" s="25"/>
    </row>
    <row r="68" spans="1:1">
      <c r="A68" s="25"/>
    </row>
    <row r="69" spans="1:1">
      <c r="A69" s="25"/>
    </row>
    <row r="70" spans="1:1">
      <c r="A70" s="25"/>
    </row>
    <row r="71" spans="1:1">
      <c r="A71" s="25"/>
    </row>
    <row r="72" spans="1:1">
      <c r="A72" s="25"/>
    </row>
    <row r="73" spans="1:1">
      <c r="A73" s="25"/>
    </row>
    <row r="74" spans="1:1">
      <c r="A74" s="25"/>
    </row>
    <row r="75" spans="1:1">
      <c r="A75" s="25"/>
    </row>
    <row r="76" spans="1:1">
      <c r="A76" s="25"/>
    </row>
    <row r="77" spans="1:1">
      <c r="A77" s="25"/>
    </row>
    <row r="78" spans="1:1">
      <c r="A78" s="25"/>
    </row>
    <row r="79" spans="1:1">
      <c r="A79" s="25"/>
    </row>
    <row r="80" spans="1:1">
      <c r="A80" s="25"/>
    </row>
    <row r="81" spans="1:1">
      <c r="A81" s="25"/>
    </row>
    <row r="82" spans="1:1">
      <c r="A82" s="25"/>
    </row>
    <row r="83" spans="1:1">
      <c r="A83" s="25"/>
    </row>
    <row r="84" spans="1:1">
      <c r="A84" s="25"/>
    </row>
    <row r="85" spans="1:1">
      <c r="A85" s="25"/>
    </row>
    <row r="86" spans="1:1">
      <c r="A86" s="25"/>
    </row>
    <row r="87" spans="1:1">
      <c r="A87" s="25"/>
    </row>
    <row r="88" spans="1:1">
      <c r="A88" s="25"/>
    </row>
    <row r="89" spans="1:1">
      <c r="A89" s="25"/>
    </row>
    <row r="90" spans="1:1">
      <c r="A90" s="25"/>
    </row>
    <row r="91" spans="1:1">
      <c r="A91" s="25"/>
    </row>
    <row r="92" spans="1:1">
      <c r="A92" s="25"/>
    </row>
    <row r="93" spans="1:1">
      <c r="A93" s="25"/>
    </row>
    <row r="94" spans="1:1">
      <c r="A94" s="25"/>
    </row>
    <row r="95" spans="1:1">
      <c r="A95" s="25"/>
    </row>
    <row r="96" spans="1:1">
      <c r="A96" s="25"/>
    </row>
    <row r="97" spans="1:1">
      <c r="A97" s="25"/>
    </row>
    <row r="98" spans="1:1">
      <c r="A98" s="25"/>
    </row>
    <row r="99" spans="1:1">
      <c r="A99" s="25"/>
    </row>
    <row r="100" spans="1:1">
      <c r="A100" s="25"/>
    </row>
    <row r="101" spans="1:1">
      <c r="A101" s="25"/>
    </row>
    <row r="102" spans="1:1">
      <c r="A102" s="25"/>
    </row>
    <row r="103" spans="1:1">
      <c r="A103" s="25"/>
    </row>
    <row r="104" spans="1:1">
      <c r="A104" s="25"/>
    </row>
    <row r="105" spans="1:1">
      <c r="A105" s="25"/>
    </row>
    <row r="106" spans="1:1">
      <c r="A106" s="25"/>
    </row>
    <row r="107" spans="1:1">
      <c r="A107" s="25"/>
    </row>
    <row r="108" spans="1:1">
      <c r="A108" s="25"/>
    </row>
    <row r="109" spans="1:1">
      <c r="A109" s="25"/>
    </row>
    <row r="110" spans="1:1">
      <c r="A110" s="25"/>
    </row>
    <row r="111" spans="1:1">
      <c r="A111" s="25"/>
    </row>
    <row r="112" spans="1:1">
      <c r="A112" s="25"/>
    </row>
    <row r="113" spans="1:1">
      <c r="A113" s="25"/>
    </row>
    <row r="114" spans="1:1">
      <c r="A114" s="25"/>
    </row>
    <row r="115" spans="1:1">
      <c r="A115" s="25"/>
    </row>
    <row r="116" spans="1:1">
      <c r="A116" s="25"/>
    </row>
    <row r="117" spans="1:1">
      <c r="A117" s="25"/>
    </row>
    <row r="118" spans="1:1">
      <c r="A118" s="25"/>
    </row>
    <row r="119" spans="1:1">
      <c r="A119" s="25"/>
    </row>
    <row r="120" spans="1:1">
      <c r="A120" s="25"/>
    </row>
    <row r="121" spans="1:1">
      <c r="A121" s="25"/>
    </row>
    <row r="122" spans="1:1">
      <c r="A122" s="25"/>
    </row>
    <row r="123" spans="1:1">
      <c r="A123" s="25"/>
    </row>
    <row r="124" spans="1:1">
      <c r="A124" s="25"/>
    </row>
    <row r="125" spans="1:1">
      <c r="A125" s="25"/>
    </row>
    <row r="126" spans="1:1">
      <c r="A126" s="25"/>
    </row>
    <row r="127" spans="1:1">
      <c r="A127" s="25"/>
    </row>
    <row r="128" spans="1:1">
      <c r="A128" s="25"/>
    </row>
    <row r="129" spans="1:1">
      <c r="A129" s="25"/>
    </row>
    <row r="130" spans="1:1">
      <c r="A130" s="25"/>
    </row>
    <row r="131" spans="1:1">
      <c r="A131" s="25"/>
    </row>
    <row r="132" spans="1:1">
      <c r="A132" s="25"/>
    </row>
    <row r="133" spans="1:1">
      <c r="A133" s="25"/>
    </row>
    <row r="134" spans="1:1">
      <c r="A134" s="25"/>
    </row>
    <row r="135" spans="1:1">
      <c r="A135" s="25"/>
    </row>
    <row r="136" spans="1:1">
      <c r="A136" s="25"/>
    </row>
    <row r="137" spans="1:1">
      <c r="A137" s="25"/>
    </row>
    <row r="138" spans="1:1">
      <c r="A138" s="25"/>
    </row>
    <row r="139" spans="1:1">
      <c r="A139" s="25"/>
    </row>
    <row r="140" spans="1:1">
      <c r="A140" s="25"/>
    </row>
    <row r="141" spans="1:1">
      <c r="A141" s="25"/>
    </row>
    <row r="142" spans="1:1">
      <c r="A142" s="25"/>
    </row>
    <row r="143" spans="1:1">
      <c r="A143" s="26"/>
    </row>
    <row r="144" spans="1:1">
      <c r="A144" t="s">
        <v>112</v>
      </c>
    </row>
  </sheetData>
  <customSheetViews>
    <customSheetView guid="{8D43A8EA-EA08-48E3-BF94-2BFB788816E3}" scale="85">
      <selection activeCell="B12" sqref="B12"/>
      <pageMargins left="0" right="0" top="0" bottom="0" header="0" footer="0"/>
    </customSheetView>
    <customSheetView guid="{6C2BAA77-ABB7-4A2D-BD29-85893334F5A3}" scale="85">
      <selection activeCell="B12" sqref="B12"/>
      <pageMargins left="0" right="0" top="0" bottom="0" header="0" footer="0"/>
    </customSheetView>
    <customSheetView guid="{A142BDA9-87E4-4D28-8956-CACB0E560FD7}" scale="85">
      <selection activeCell="B12" sqref="B12"/>
      <pageMargins left="0" right="0" top="0" bottom="0" header="0" footer="0"/>
    </customSheetView>
    <customSheetView guid="{07871DE1-6DDD-41A1-BC3E-EE686D9B3091}" scale="85">
      <selection activeCell="B12" sqref="B12"/>
      <pageMargins left="0" right="0" top="0" bottom="0" header="0" footer="0"/>
    </customSheetView>
    <customSheetView guid="{7F6D31C6-7E2C-4B29-867B-55EBA4D25780}" scale="85">
      <selection activeCell="B12" sqref="B12"/>
      <pageMargins left="0" right="0" top="0" bottom="0" header="0" footer="0"/>
    </customSheetView>
    <customSheetView guid="{A0FC786A-8DCE-4049-A0E0-92B8CFB0DE4D}" scale="85">
      <selection activeCell="B12" sqref="B12"/>
      <pageMargins left="0" right="0" top="0" bottom="0" header="0" footer="0"/>
    </customSheetView>
    <customSheetView guid="{9AF22A4D-4E31-4B78-9592-FFE6AADDDF54}" scale="85">
      <selection activeCell="B12" sqref="B12"/>
      <pageMargins left="0" right="0" top="0" bottom="0" header="0" footer="0"/>
    </customSheetView>
  </customSheetViews>
  <mergeCells count="1">
    <mergeCell ref="B1:L1"/>
  </mergeCells>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407223-6cfd-4ced-9fb0-4898f143b10a" xsi:nil="true"/>
    <lcf76f155ced4ddcb4097134ff3c332f xmlns="24e68494-784c-40dc-8659-4fd1159b4f0e">
      <Terms xmlns="http://schemas.microsoft.com/office/infopath/2007/PartnerControls"/>
    </lcf76f155ced4ddcb4097134ff3c332f>
    <ArchiverLinkFileType xmlns="24e68494-784c-40dc-8659-4fd1159b4f0e" xsi:nil="true"/>
    <_Flow_SignoffStatus xmlns="24e68494-784c-40dc-8659-4fd1159b4f0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09F0038CA7BB44A487994B78865562" ma:contentTypeVersion="19" ma:contentTypeDescription="新しいドキュメントを作成します。" ma:contentTypeScope="" ma:versionID="5d43859a41675b62b81ad800737fae84">
  <xsd:schema xmlns:xsd="http://www.w3.org/2001/XMLSchema" xmlns:xs="http://www.w3.org/2001/XMLSchema" xmlns:p="http://schemas.microsoft.com/office/2006/metadata/properties" xmlns:ns2="24e68494-784c-40dc-8659-4fd1159b4f0e" xmlns:ns3="49407223-6cfd-4ced-9fb0-4898f143b10a" targetNamespace="http://schemas.microsoft.com/office/2006/metadata/properties" ma:root="true" ma:fieldsID="a7c1ecaeff743744a14d18fea4757dec" ns2:_="" ns3:_="">
    <xsd:import namespace="24e68494-784c-40dc-8659-4fd1159b4f0e"/>
    <xsd:import namespace="49407223-6cfd-4ced-9fb0-4898f143b1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ArchiverLinkFileTyp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e68494-784c-40dc-8659-4fd1159b4f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495dbf-c790-4553-8539-553daef387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ArchiverLinkFileType" ma:index="25" nillable="true" ma:displayName="ArchiverLinkFileType" ma:hidden="true" ma:internalName="ArchiverLinkFileType">
      <xsd:simpleType>
        <xsd:restriction base="dms:Text"/>
      </xsd:simpleType>
    </xsd:element>
    <xsd:element name="_Flow_SignoffStatus" ma:index="26"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407223-6cfd-4ced-9fb0-4898f143b10a" elementFormDefault="qualified">
    <xsd:import namespace="http://schemas.microsoft.com/office/2006/documentManagement/types"/>
    <xsd:import namespace="http://schemas.microsoft.com/office/infopath/2007/PartnerControls"/>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7ed4a00c-309f-4d58-b406-c646d3ebcc67}" ma:internalName="TaxCatchAll" ma:showField="CatchAllData" ma:web="49407223-6cfd-4ced-9fb0-4898f143b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3CC051-69CA-476B-834A-F5C892ED5DF5}">
  <ds:schemaRefs>
    <ds:schemaRef ds:uri="http://schemas.microsoft.com/office/2006/metadata/properties"/>
    <ds:schemaRef ds:uri="http://schemas.microsoft.com/office/infopath/2007/PartnerControls"/>
    <ds:schemaRef ds:uri="49407223-6cfd-4ced-9fb0-4898f143b10a"/>
    <ds:schemaRef ds:uri="24e68494-784c-40dc-8659-4fd1159b4f0e"/>
  </ds:schemaRefs>
</ds:datastoreItem>
</file>

<file path=customXml/itemProps2.xml><?xml version="1.0" encoding="utf-8"?>
<ds:datastoreItem xmlns:ds="http://schemas.openxmlformats.org/officeDocument/2006/customXml" ds:itemID="{203A09D0-159D-45D2-AD9E-ACB061D808AF}">
  <ds:schemaRefs>
    <ds:schemaRef ds:uri="http://schemas.microsoft.com/sharepoint/v3/contenttype/forms"/>
  </ds:schemaRefs>
</ds:datastoreItem>
</file>

<file path=customXml/itemProps3.xml><?xml version="1.0" encoding="utf-8"?>
<ds:datastoreItem xmlns:ds="http://schemas.openxmlformats.org/officeDocument/2006/customXml" ds:itemID="{D5062F5E-7AFD-43CF-B2B5-8FA0F5861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e68494-784c-40dc-8659-4fd1159b4f0e"/>
    <ds:schemaRef ds:uri="49407223-6cfd-4ced-9fb0-4898f143b1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8f4089b-327a-4658-989e-3317505dd528}" enabled="1" method="Privileged" siteId="{a629ef32-67ba-47a6-8eb3-ec43935644f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7</vt:i4>
      </vt:variant>
    </vt:vector>
  </HeadingPairs>
  <TitlesOfParts>
    <vt:vector size="17" baseType="lpstr">
      <vt:lpstr>変更履歴</vt:lpstr>
      <vt:lpstr>試験実施要領</vt:lpstr>
      <vt:lpstr>パターン表</vt:lpstr>
      <vt:lpstr>試験項目書</vt:lpstr>
      <vt:lpstr>対象データ取得</vt:lpstr>
      <vt:lpstr>実施手順</vt:lpstr>
      <vt:lpstr>確認用</vt:lpstr>
      <vt:lpstr>ディシジョン表</vt:lpstr>
      <vt:lpstr>集計</vt:lpstr>
      <vt:lpstr>マスタ</vt:lpstr>
      <vt:lpstr>IT1_処理結合テスト</vt:lpstr>
      <vt:lpstr>IT2_機能結合テスト</vt:lpstr>
      <vt:lpstr>IT3_業務結合テスト</vt:lpstr>
      <vt:lpstr>IT4_外部連携テスト</vt:lpstr>
      <vt:lpstr>試験項目書!Print_Area</vt:lpstr>
      <vt:lpstr>ST_システムテスト</vt:lpstr>
      <vt:lpstr>UT_単体テスト</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miina.takezawa</dc:creator>
  <cp:keywords/>
  <dc:description/>
  <cp:lastModifiedBy>Akari Minato（湊あかり）</cp:lastModifiedBy>
  <cp:revision/>
  <dcterms:created xsi:type="dcterms:W3CDTF">2016-03-30T05:17:50Z</dcterms:created>
  <dcterms:modified xsi:type="dcterms:W3CDTF">2026-08-18T01:54:21Z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0x0101008A09F0038CA7BB44A487994B78865562</vt:lpwstr>
  </property>
  <property fmtid="{D5CDD505-2E9C-101B-9397-08002B2CF9AE}" pid="3" name="MediaServiceImageTags">
    <vt:lpwstr/>
  </property>
</Properties>
</file>